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jetos\dev_projetos\VBA\vbf\"/>
    </mc:Choice>
  </mc:AlternateContent>
  <xr:revisionPtr revIDLastSave="0" documentId="13_ncr:1_{485AAAEF-4D18-4531-820A-565FBBC4FF0D}" xr6:coauthVersionLast="47" xr6:coauthVersionMax="47" xr10:uidLastSave="{00000000-0000-0000-0000-000000000000}"/>
  <bookViews>
    <workbookView xWindow="-120" yWindow="-120" windowWidth="29040" windowHeight="15840" tabRatio="752" xr2:uid="{00000000-000D-0000-FFFF-FFFF00000000}"/>
  </bookViews>
  <sheets>
    <sheet name="gerencial" sheetId="11" r:id="rId1"/>
    <sheet name="238" sheetId="9" r:id="rId2"/>
    <sheet name="550" sheetId="8" r:id="rId3"/>
    <sheet name="indicadores" sheetId="10" r:id="rId4"/>
    <sheet name="LFT" sheetId="5" r:id="rId5"/>
    <sheet name="LTN" sheetId="3" r:id="rId6"/>
    <sheet name="NTN-C" sheetId="4" r:id="rId7"/>
    <sheet name="NTN-B" sheetId="6" r:id="rId8"/>
    <sheet name="NTN-F" sheetId="7" r:id="rId9"/>
    <sheet name="feriado" sheetId="2" r:id="rId10"/>
    <sheet name="aux" sheetId="12" r:id="rId11"/>
  </sheets>
  <functionGroups builtInGroupCount="19"/>
  <definedNames>
    <definedName name="feriados">feriado!$A$2:$A$937</definedName>
    <definedName name="ult_atu">aux!$D$2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6" i="11" l="1"/>
  <c r="E2" i="12"/>
  <c r="E3" i="12" s="1"/>
  <c r="C10" i="12"/>
  <c r="D10" i="12" s="1"/>
  <c r="C9" i="12"/>
  <c r="D9" i="12" s="1"/>
  <c r="C8" i="12"/>
  <c r="D8" i="12" s="1"/>
  <c r="C7" i="12"/>
  <c r="D7" i="12" s="1"/>
  <c r="C6" i="12"/>
  <c r="D6" i="12" s="1"/>
  <c r="C5" i="12"/>
  <c r="D5" i="12" s="1"/>
  <c r="C3" i="12"/>
  <c r="D3" i="12" s="1"/>
  <c r="C4" i="12"/>
  <c r="D4" i="12" s="1"/>
  <c r="F2" i="12" l="1"/>
  <c r="F3" i="12"/>
  <c r="E5" i="12"/>
  <c r="F5" i="12" s="1"/>
  <c r="E4" i="12"/>
  <c r="F4" i="12" s="1"/>
  <c r="E10" i="12"/>
  <c r="F10" i="12" s="1"/>
  <c r="E9" i="12"/>
  <c r="F9" i="12" s="1"/>
  <c r="E8" i="12"/>
  <c r="F8" i="12" s="1"/>
  <c r="E7" i="12"/>
  <c r="F7" i="12" s="1"/>
  <c r="E6" i="12"/>
  <c r="F6" i="12" s="1"/>
  <c r="G3" i="12" l="1"/>
  <c r="D18" i="11" s="1"/>
  <c r="G6" i="12"/>
  <c r="D21" i="11" s="1"/>
  <c r="G10" i="12"/>
  <c r="D25" i="11" s="1"/>
  <c r="G7" i="12"/>
  <c r="D22" i="11" s="1"/>
  <c r="G4" i="12"/>
  <c r="D19" i="11" s="1"/>
  <c r="G9" i="12"/>
  <c r="D24" i="11" s="1"/>
  <c r="G5" i="12"/>
  <c r="D20" i="11" s="1"/>
  <c r="G8" i="12"/>
  <c r="D23" i="11" s="1"/>
</calcChain>
</file>

<file path=xl/sharedStrings.xml><?xml version="1.0" encoding="utf-8"?>
<sst xmlns="http://schemas.openxmlformats.org/spreadsheetml/2006/main" count="2588" uniqueCount="368">
  <si>
    <t>Data</t>
  </si>
  <si>
    <t>Dia da Semana</t>
  </si>
  <si>
    <t>Feriado</t>
  </si>
  <si>
    <t>segunda-feira</t>
  </si>
  <si>
    <t>Confraternização Universal</t>
  </si>
  <si>
    <t>Carnaval</t>
  </si>
  <si>
    <t>terça-feira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</si>
  <si>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</si>
  <si>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</si>
  <si>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</si>
  <si>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</si>
  <si>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</si>
  <si>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</si>
  <si>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</si>
  <si>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</si>
  <si>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r>
      <t>Nossa Sr.</t>
    </r>
    <r>
      <rPr>
        <vertAlign val="superscript"/>
        <sz val="9"/>
        <color indexed="8"/>
        <rFont val="Arial"/>
        <family val="2"/>
      </rPr>
      <t>a</t>
    </r>
    <r>
      <rPr>
        <sz val="9"/>
        <color indexed="8"/>
        <rFont val="Arial"/>
        <family val="2"/>
      </rPr>
      <t xml:space="preserve"> Aparecida - Padroeira do Brasil</t>
    </r>
  </si>
  <si>
    <t>Finados</t>
  </si>
  <si>
    <t>Proclamação da República</t>
  </si>
  <si>
    <t>Natal</t>
  </si>
  <si>
    <t>domingo</t>
  </si>
  <si>
    <t>quarta-feira</t>
  </si>
  <si>
    <t>Titulo</t>
  </si>
  <si>
    <t>Vencimento</t>
  </si>
  <si>
    <t>Indice</t>
  </si>
  <si>
    <t>Taxa % a.a.</t>
  </si>
  <si>
    <t>Estimativa SELIC1</t>
  </si>
  <si>
    <t>Taxa SELIC do BC2</t>
  </si>
  <si>
    <t>DI-B33</t>
  </si>
  <si>
    <t>Números Índices / Variações Mensais</t>
  </si>
  <si>
    <t>IGP-M (mai/22)5</t>
  </si>
  <si>
    <t>Número Índice</t>
  </si>
  <si>
    <t>Var % no mês</t>
  </si>
  <si>
    <t>IGP-M1</t>
  </si>
  <si>
    <t>Projeção (jun/22)</t>
  </si>
  <si>
    <t>IPCA (mai/22)6</t>
  </si>
  <si>
    <t>IPCA1</t>
  </si>
  <si>
    <t>R$ / US$</t>
  </si>
  <si>
    <t>Dolar Comercial Compra2</t>
  </si>
  <si>
    <t>Dólar Comercial Venda2</t>
  </si>
  <si>
    <t>R$ / EUR$</t>
  </si>
  <si>
    <t>Euro Compra2</t>
  </si>
  <si>
    <t>Euro Venda2</t>
  </si>
  <si>
    <t>Rend. Mês (%)</t>
  </si>
  <si>
    <t>TR2</t>
  </si>
  <si>
    <t>TBF2</t>
  </si>
  <si>
    <t>Valor da Cota R$</t>
  </si>
  <si>
    <t>FDS4</t>
  </si>
  <si>
    <t>Fontes: ANBIMA1, BACEN2, B33, CEF4, FGV5 e IBGE6</t>
  </si>
  <si>
    <t>Elaboração: ANBIMA</t>
  </si>
  <si>
    <t>Preço Unitario</t>
  </si>
  <si>
    <t>Preço Retorno (*)</t>
  </si>
  <si>
    <t>0,00000000</t>
  </si>
  <si>
    <t>(*) Só será preenchido quando o papel estiver resgatando no dia útil seguinte à Data de Movimento</t>
  </si>
  <si>
    <t xml:space="preserve">    do arquivo. Neste caso, o Preço Unitário será uma estimativa calculada em função do Preço de </t>
  </si>
  <si>
    <t xml:space="preserve">    Retorno, pois não haverá Preço de Lastro para este papel. </t>
  </si>
  <si>
    <t>(**) É a posição global menos a posição na Carteira do Banco Central.</t>
  </si>
  <si>
    <t>Posição Custodia (**)</t>
  </si>
  <si>
    <t>15.042.093</t>
  </si>
  <si>
    <t>23.158.196</t>
  </si>
  <si>
    <t>15.266.054</t>
  </si>
  <si>
    <t>16.154.249</t>
  </si>
  <si>
    <t>14.409.573</t>
  </si>
  <si>
    <t>6.078.106</t>
  </si>
  <si>
    <t>21.844.379</t>
  </si>
  <si>
    <t>110.946.026</t>
  </si>
  <si>
    <t>14.688.230</t>
  </si>
  <si>
    <t>281.748.433</t>
  </si>
  <si>
    <t>4.025.239</t>
  </si>
  <si>
    <t>5.414</t>
  </si>
  <si>
    <t>1.434.187</t>
  </si>
  <si>
    <t>1.412.187</t>
  </si>
  <si>
    <t>955.183</t>
  </si>
  <si>
    <t>448.420</t>
  </si>
  <si>
    <t>288.242</t>
  </si>
  <si>
    <t>106.842</t>
  </si>
  <si>
    <t>105.500</t>
  </si>
  <si>
    <t>22.000</t>
  </si>
  <si>
    <t>2.630</t>
  </si>
  <si>
    <t>100</t>
  </si>
  <si>
    <t>160.178</t>
  </si>
  <si>
    <t>181.400</t>
  </si>
  <si>
    <t>1.342</t>
  </si>
  <si>
    <t>42.325.867</t>
  </si>
  <si>
    <t>11.041.958</t>
  </si>
  <si>
    <t>464.843</t>
  </si>
  <si>
    <t>459.843</t>
  </si>
  <si>
    <t>5.000</t>
  </si>
  <si>
    <t>Títulos Públicos Federais</t>
  </si>
  <si>
    <t>Papel PREFIXADO</t>
  </si>
  <si>
    <t>LTN - Taxa (% a.a.)/252</t>
  </si>
  <si>
    <t>Código SELIC</t>
  </si>
  <si>
    <t>Data Base/Emissão</t>
  </si>
  <si>
    <t>Data de Vencimento</t>
  </si>
  <si>
    <t>Tx. Compra</t>
  </si>
  <si>
    <t>Tx. Venda</t>
  </si>
  <si>
    <t>Tx. Indicativas</t>
  </si>
  <si>
    <t>PU</t>
  </si>
  <si>
    <t>Intervalo Indicativo</t>
  </si>
  <si>
    <t>Mínimo (D0)</t>
  </si>
  <si>
    <t>Máximo (D0)</t>
  </si>
  <si>
    <t>Mínimo (D+1)</t>
  </si>
  <si>
    <t>Máximo (D+1)</t>
  </si>
  <si>
    <t>Quando uma taxa for interpolada será apresentada em negrito.</t>
  </si>
  <si>
    <t>Papel IGP-M</t>
  </si>
  <si>
    <t>NTN-C - Taxa (% a.a.)/252</t>
  </si>
  <si>
    <t xml:space="preserve">Os preços unitários são calculados a partir da projeção para o IGP-M apurada pelo Comitê de Acompanhamento Macroeconômico da ANBIMA </t>
  </si>
  <si>
    <t>para o mês, à exceção do dia seguinte à divulgação do IGP-M final, caso em que é utilizado o próprio índice do mês corrente, divulgado pela FGV .</t>
  </si>
  <si>
    <t>Projeção IGP-M para Junho:</t>
  </si>
  <si>
    <t>Média apurada pelo Comitê de Acompanhamento Macroeconômico da ANBIMA:  0,66%</t>
  </si>
  <si>
    <t>Papel POS-SELIC</t>
  </si>
  <si>
    <t>LFT - Rentabilidade (% a.a.)/252</t>
  </si>
  <si>
    <t>Papel IPCA</t>
  </si>
  <si>
    <t>NTN-B - Taxa (% a.a.)/252</t>
  </si>
  <si>
    <t xml:space="preserve">Os preços unitários são calculados a partir da projeção para o IPCA apurada pela Comitê de Acompanhamento Macroeconômico da ANBIMA </t>
  </si>
  <si>
    <t xml:space="preserve">para o mês, à exceção do período entre o dia de divulgação do IPCA final e o dia 15 do mês corrente, caso em que é utilizado o próprio índice do </t>
  </si>
  <si>
    <t>mês anterior, divulgado pelo IBGE.</t>
  </si>
  <si>
    <t>NTN-F - Taxa (% a.a.)/252</t>
  </si>
  <si>
    <t xml:space="preserve"> </t>
  </si>
  <si>
    <t>Resumo da Metodologia para o Cálculo das Taxas Médias</t>
  </si>
  <si>
    <t xml:space="preserve">- A metodologia para a apuração das taxas médias tem por objetivo eliminar observações que, possivelmente, estejam erradas e que contaminem o cálculo da média. </t>
  </si>
  <si>
    <t>- Três taxas são requisitadas às instituições pertencentes à amostra:</t>
  </si>
  <si>
    <t>     *     A taxa máxima que corresponde à maior taxa de compra observada para o vencimento;</t>
  </si>
  <si>
    <t>     *     A taxa mínima que corresponde à menor taxa de venda observada para o vencimento;</t>
  </si>
  <si>
    <t>     *     Taxas Indicativas, que correspondem às taxas avaliadas pela instituição, como referência de preço justo de negócio para cada vencimento, de acordo com suas curvas individuais, no dia de referência.</t>
  </si>
  <si>
    <t>- Os dados fornecidos pelas instituições geram dois filtros, que estabelecem intervalos dentro dos quais as informações fornecidas devem estar contidas. Aquelas que estiverem fora dos intervalos são eliminadas e não entram no cômputo das médias.</t>
  </si>
  <si>
    <t>- Caso o número de informações restantes, após a aplicação dos critérios acima descritos, não permitir a divulgação de taxas para alguns vencimentos, decidiu-se interpolar a série, utilizando-se para isso o método Cubic Spline, com exceção da LFT que adota o método exponencial.</t>
  </si>
  <si>
    <t xml:space="preserve">- A íntegra da metodologia pode ser obtida junto à Superintendência Técnica ou nos sites da ANBIMA na RTM ou na Internet. </t>
  </si>
  <si>
    <t>ANBIMA: Sede: Praia de Botafogo, 501, bloco II, conj. 704 - Botafogo - Rio de Janeiro - RJ - CEP: 22250-042 - Tel.(21) 3814-3800;  e Av. Nações Unidas, 8501 - 11º e 21º andares - Conj.A - Pinheiros - SP - CEP: 05425-070 - Tel.(11) 3471-5200.</t>
  </si>
  <si>
    <t>ENDEREÇO NA INTERNET:  www.anbima.com.br</t>
  </si>
  <si>
    <t>NTN-B</t>
  </si>
  <si>
    <t>LFT</t>
  </si>
  <si>
    <t>NTN-F</t>
  </si>
  <si>
    <t>NTN-C</t>
  </si>
  <si>
    <t>LTN</t>
  </si>
  <si>
    <t>INDICADORES</t>
  </si>
  <si>
    <t>Hoje</t>
  </si>
  <si>
    <t>Última Atu:</t>
  </si>
  <si>
    <t>Data : 22/06/2022</t>
  </si>
  <si>
    <t>Data Base : 21/06/2022</t>
  </si>
  <si>
    <t>Fator Diario : 1,00049037</t>
  </si>
  <si>
    <t xml:space="preserve">      Data da Geração : 23/06/2022</t>
  </si>
  <si>
    <t>Data do Movimento : 23/06/2022</t>
  </si>
  <si>
    <t>11.807,77472637</t>
  </si>
  <si>
    <t>11.800,99508347</t>
  </si>
  <si>
    <t>14.435.483</t>
  </si>
  <si>
    <t>11.792,45700518</t>
  </si>
  <si>
    <t>11.781,20300528</t>
  </si>
  <si>
    <t>11.766,84009313</t>
  </si>
  <si>
    <t>15.946.425</t>
  </si>
  <si>
    <t>11.750,38162191</t>
  </si>
  <si>
    <t>11.569.288</t>
  </si>
  <si>
    <t>11.732,44093137</t>
  </si>
  <si>
    <t>11.712,55393691</t>
  </si>
  <si>
    <t>11.698,03416255</t>
  </si>
  <si>
    <t>11.680,41102190</t>
  </si>
  <si>
    <t>17.407.985</t>
  </si>
  <si>
    <t>11.663,64242178</t>
  </si>
  <si>
    <t>11.650,44939914</t>
  </si>
  <si>
    <t>13.336.174</t>
  </si>
  <si>
    <t>11.632,20718860</t>
  </si>
  <si>
    <t>5.609.314</t>
  </si>
  <si>
    <t>996,93714156</t>
  </si>
  <si>
    <t>963,75361622</t>
  </si>
  <si>
    <t>110.976.496</t>
  </si>
  <si>
    <t>932,48586153</t>
  </si>
  <si>
    <t>151.801.191</t>
  </si>
  <si>
    <t>901,49868218</t>
  </si>
  <si>
    <t>873,06154273</t>
  </si>
  <si>
    <t>201.406.190</t>
  </si>
  <si>
    <t>822,66673038</t>
  </si>
  <si>
    <t>799,76189207</t>
  </si>
  <si>
    <t>73.893.046</t>
  </si>
  <si>
    <t>778,03989713</t>
  </si>
  <si>
    <t>94.294.604</t>
  </si>
  <si>
    <t>734,74036629</t>
  </si>
  <si>
    <t>95.308.153</t>
  </si>
  <si>
    <t>693,92969947</t>
  </si>
  <si>
    <t>112.050.109</t>
  </si>
  <si>
    <t>651,64015557</t>
  </si>
  <si>
    <t>3.772.516</t>
  </si>
  <si>
    <t>446,90882738</t>
  </si>
  <si>
    <t>615.287</t>
  </si>
  <si>
    <t>4.771,43968808</t>
  </si>
  <si>
    <t>4.002,67841315</t>
  </si>
  <si>
    <t>115,38749528</t>
  </si>
  <si>
    <t>113,25443698</t>
  </si>
  <si>
    <t>958.231</t>
  </si>
  <si>
    <t>112,06567872</t>
  </si>
  <si>
    <t>110,35631930</t>
  </si>
  <si>
    <t>108,59250303</t>
  </si>
  <si>
    <t>107,04374366</t>
  </si>
  <si>
    <t>955.601</t>
  </si>
  <si>
    <t>105,66556678</t>
  </si>
  <si>
    <t>104,33705531</t>
  </si>
  <si>
    <t>102,94574165</t>
  </si>
  <si>
    <t>101,52616957</t>
  </si>
  <si>
    <t>100,20082456</t>
  </si>
  <si>
    <t>98,98269041</t>
  </si>
  <si>
    <t>97,63606848</t>
  </si>
  <si>
    <t>96,30890888</t>
  </si>
  <si>
    <t>955.501</t>
  </si>
  <si>
    <t>95,05620680</t>
  </si>
  <si>
    <t>93,87130963</t>
  </si>
  <si>
    <t>92,52175022</t>
  </si>
  <si>
    <t>91,16418039</t>
  </si>
  <si>
    <t>89,80287717</t>
  </si>
  <si>
    <t>88,45386457</t>
  </si>
  <si>
    <t>87,15452207</t>
  </si>
  <si>
    <t>85,91398813</t>
  </si>
  <si>
    <t>84,63238367</t>
  </si>
  <si>
    <t>83,48564120</t>
  </si>
  <si>
    <t>82,24026111</t>
  </si>
  <si>
    <t>81,05093220</t>
  </si>
  <si>
    <t>79,91575156</t>
  </si>
  <si>
    <t>78,79647000</t>
  </si>
  <si>
    <t>77,62103967</t>
  </si>
  <si>
    <t>76,49851227</t>
  </si>
  <si>
    <t>75,39221845</t>
  </si>
  <si>
    <t>74,37067734</t>
  </si>
  <si>
    <t>73,26126788</t>
  </si>
  <si>
    <t>72,14346158</t>
  </si>
  <si>
    <t>71,07815846</t>
  </si>
  <si>
    <t>70,10059946</t>
  </si>
  <si>
    <t>69,01086488</t>
  </si>
  <si>
    <t>67,91321706</t>
  </si>
  <si>
    <t>66,90915353</t>
  </si>
  <si>
    <t>65,88531706</t>
  </si>
  <si>
    <t>64,86173913</t>
  </si>
  <si>
    <t>63,88197961</t>
  </si>
  <si>
    <t>62,86175047</t>
  </si>
  <si>
    <t>61,92756076</t>
  </si>
  <si>
    <t>60,94050129</t>
  </si>
  <si>
    <t>59,97981361</t>
  </si>
  <si>
    <t>59,00162462</t>
  </si>
  <si>
    <t>58,14129534</t>
  </si>
  <si>
    <t>57,19274535</t>
  </si>
  <si>
    <t>56,29073465</t>
  </si>
  <si>
    <t>55,43518492</t>
  </si>
  <si>
    <t>54,59867786</t>
  </si>
  <si>
    <t>53,72942029</t>
  </si>
  <si>
    <t>52,90806998</t>
  </si>
  <si>
    <t>659.613</t>
  </si>
  <si>
    <t>52,10658104</t>
  </si>
  <si>
    <t>51,37311840</t>
  </si>
  <si>
    <t>50,58324941</t>
  </si>
  <si>
    <t>49,79961560</t>
  </si>
  <si>
    <t>49,06779503</t>
  </si>
  <si>
    <t>48,39583410</t>
  </si>
  <si>
    <t>47,66947023</t>
  </si>
  <si>
    <t>46,98919587</t>
  </si>
  <si>
    <t>46,30944081</t>
  </si>
  <si>
    <t>45,66128726</t>
  </si>
  <si>
    <t>44,99076837</t>
  </si>
  <si>
    <t>44,34943269</t>
  </si>
  <si>
    <t>43,68462050</t>
  </si>
  <si>
    <t>43,07680190</t>
  </si>
  <si>
    <t>42,43358221</t>
  </si>
  <si>
    <t>41,80451242</t>
  </si>
  <si>
    <t>41,17845089</t>
  </si>
  <si>
    <t>40,56425548</t>
  </si>
  <si>
    <t>39,92132903</t>
  </si>
  <si>
    <t>39,30122208</t>
  </si>
  <si>
    <t>38,68708999</t>
  </si>
  <si>
    <t>38,11761582</t>
  </si>
  <si>
    <t>37,49685414</t>
  </si>
  <si>
    <t>36,87395564</t>
  </si>
  <si>
    <t>36,28663220</t>
  </si>
  <si>
    <t>35,75243463</t>
  </si>
  <si>
    <t>35,16145627</t>
  </si>
  <si>
    <t>34,56999822</t>
  </si>
  <si>
    <t>34,03132835</t>
  </si>
  <si>
    <t>33,50056871</t>
  </si>
  <si>
    <t>32,94397154</t>
  </si>
  <si>
    <t>32,42193045</t>
  </si>
  <si>
    <t>31,90058037</t>
  </si>
  <si>
    <t>31,40475455</t>
  </si>
  <si>
    <t>30,89426532</t>
  </si>
  <si>
    <t>30,40169900</t>
  </si>
  <si>
    <t>29,90406897</t>
  </si>
  <si>
    <t>29,46928107</t>
  </si>
  <si>
    <t>28,99082222</t>
  </si>
  <si>
    <t>28,09924309</t>
  </si>
  <si>
    <t>27,22131648</t>
  </si>
  <si>
    <t>26,37113776</t>
  </si>
  <si>
    <t>25,56105027</t>
  </si>
  <si>
    <t>24,74577645</t>
  </si>
  <si>
    <t>23,98801833</t>
  </si>
  <si>
    <t>23,24936794</t>
  </si>
  <si>
    <t>22,53554916</t>
  </si>
  <si>
    <t>21,83523760</t>
  </si>
  <si>
    <t>21,17522621</t>
  </si>
  <si>
    <t>3.903,10376129</t>
  </si>
  <si>
    <t>3.732,91892565</t>
  </si>
  <si>
    <t>3.482,24831855</t>
  </si>
  <si>
    <t>3.884.972</t>
  </si>
  <si>
    <t>3.348,19392938</t>
  </si>
  <si>
    <t>3.129,64581118</t>
  </si>
  <si>
    <t>4.263.501</t>
  </si>
  <si>
    <t>2.781,86359515</t>
  </si>
  <si>
    <t>2.478,13967623</t>
  </si>
  <si>
    <t>1.846,85787984</t>
  </si>
  <si>
    <t>5.928.965</t>
  </si>
  <si>
    <t>1.350,38107140</t>
  </si>
  <si>
    <t>996,82952224</t>
  </si>
  <si>
    <t>3.084.373</t>
  </si>
  <si>
    <t>716,27436636</t>
  </si>
  <si>
    <t>4.018,49125681</t>
  </si>
  <si>
    <t>3.957,54472492</t>
  </si>
  <si>
    <t>45.824.104</t>
  </si>
  <si>
    <t>4.030,27733892</t>
  </si>
  <si>
    <t>52.310.139</t>
  </si>
  <si>
    <t>3.988,59008688</t>
  </si>
  <si>
    <t>27.604.540</t>
  </si>
  <si>
    <t>4.066,88528573</t>
  </si>
  <si>
    <t>34.723.897</t>
  </si>
  <si>
    <t>4.003,53051713</t>
  </si>
  <si>
    <t>8.349.791</t>
  </si>
  <si>
    <t>4.061,97680788</t>
  </si>
  <si>
    <t>20.823.718</t>
  </si>
  <si>
    <t>4.064,44316716</t>
  </si>
  <si>
    <t>29.302.323</t>
  </si>
  <si>
    <t>4.048,79780627</t>
  </si>
  <si>
    <t>3.898.736</t>
  </si>
  <si>
    <t>3.956,54596436</t>
  </si>
  <si>
    <t>27.948.253</t>
  </si>
  <si>
    <t>4.003,10193166</t>
  </si>
  <si>
    <t>19.090.059</t>
  </si>
  <si>
    <t>3.892,19648759</t>
  </si>
  <si>
    <t>25.245.706</t>
  </si>
  <si>
    <t>3.915,31791783</t>
  </si>
  <si>
    <t>41.573.408</t>
  </si>
  <si>
    <t>3.849,53359843</t>
  </si>
  <si>
    <t>27.558.836</t>
  </si>
  <si>
    <t>3.873,79074827</t>
  </si>
  <si>
    <t>2.756.022</t>
  </si>
  <si>
    <t>9.988,40470849</t>
  </si>
  <si>
    <t>48,65935540</t>
  </si>
  <si>
    <t>474.844</t>
  </si>
  <si>
    <t>45,51356254</t>
  </si>
  <si>
    <t>42,61312988</t>
  </si>
  <si>
    <t>40,15341704</t>
  </si>
  <si>
    <t>37,97523263</t>
  </si>
  <si>
    <t>35,86183233</t>
  </si>
  <si>
    <t>33,86991061</t>
  </si>
  <si>
    <t>31,80580661</t>
  </si>
  <si>
    <t>30,02172996</t>
  </si>
  <si>
    <t>28,12738774</t>
  </si>
  <si>
    <t>26,48951711</t>
  </si>
  <si>
    <t>24,78685529</t>
  </si>
  <si>
    <t>23,31956466</t>
  </si>
  <si>
    <t>21,81310592</t>
  </si>
  <si>
    <t>10.001</t>
  </si>
  <si>
    <t>1.026,65865636</t>
  </si>
  <si>
    <t>124.418.033</t>
  </si>
  <si>
    <t>985,48490633</t>
  </si>
  <si>
    <t>107.339.589</t>
  </si>
  <si>
    <t>950,68618511</t>
  </si>
  <si>
    <t>112.818.818</t>
  </si>
  <si>
    <t>917,35345046</t>
  </si>
  <si>
    <t>73.832.981</t>
  </si>
  <si>
    <t>889,84389892</t>
  </si>
  <si>
    <t>43.144.177</t>
  </si>
  <si>
    <t>868,78026617</t>
  </si>
  <si>
    <t>11.595.269</t>
  </si>
  <si>
    <t>22/Jun/2022</t>
  </si>
  <si>
    <t>Projeção IPCA para Junho:</t>
  </si>
  <si>
    <t>Média apurada pela Comitê de Acompanhamento Macroeconômico da ANBIMA:  0,64%</t>
  </si>
  <si>
    <t>Data e Hora da Última Atualização: 23/06/2022 - 19:19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</si>
</sst>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000"/>
    <numFmt numFmtId="167" formatCode="[$-F400]h:mm:ss\ AM/PM"/>
    <numFmt numFmtId="168" formatCode="#,##0.00000000"/>
  </numFmts>
  <fonts count="1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vertAlign val="superscript"/>
      <sz val="9"/>
      <color indexed="8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name val="Trebuchet MS"/>
      <family val="2"/>
    </font>
    <font>
      <b/>
      <sz val="11"/>
      <color theme="8" tint="0.7999816888943144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23"/>
      </right>
      <top style="medium">
        <color indexed="23"/>
      </top>
      <bottom style="medium">
        <color indexed="23"/>
      </bottom>
      <diagonal/>
    </border>
    <border>
      <left/>
      <right style="medium">
        <color indexed="55"/>
      </right>
      <top style="medium">
        <color indexed="23"/>
      </top>
      <bottom style="medium">
        <color indexed="23"/>
      </bottom>
      <diagonal/>
    </border>
    <border>
      <left style="medium">
        <color indexed="23"/>
      </left>
      <right style="medium">
        <color indexed="23"/>
      </right>
      <top/>
      <bottom style="medium">
        <color indexed="23"/>
      </bottom>
      <diagonal/>
    </border>
    <border>
      <left/>
      <right style="medium">
        <color indexed="23"/>
      </right>
      <top/>
      <bottom style="medium">
        <color indexed="23"/>
      </bottom>
      <diagonal/>
    </border>
    <border>
      <left/>
      <right style="medium">
        <color indexed="55"/>
      </right>
      <top/>
      <bottom style="medium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3" tint="-0.499984740745262"/>
      </bottom>
      <diagonal/>
    </border>
    <border>
      <left/>
      <right/>
      <top style="thick">
        <color theme="0"/>
      </top>
      <bottom style="thick">
        <color theme="3" tint="-0.499984740745262"/>
      </bottom>
      <diagonal/>
    </border>
    <border>
      <left/>
      <right style="thick">
        <color theme="4" tint="-0.499984740745262"/>
      </right>
      <top style="thick">
        <color theme="0"/>
      </top>
      <bottom style="thick">
        <color theme="3" tint="-0.499984740745262"/>
      </bottom>
      <diagonal/>
    </border>
  </borders>
  <cellStyleXfs count="3">
    <xf numFmtId="0" fontId="0" fillId="0" borderId="0"/>
    <xf numFmtId="0" fontId="1" fillId="0" borderId="0"/>
    <xf numFmtId="0" fontId="8" fillId="0" borderId="0"/>
  </cellStyleXfs>
  <cellXfs count="51">
    <xf numFmtId="0" fontId="0" fillId="0" borderId="0" xfId="0"/>
    <xf numFmtId="0" fontId="2" fillId="2" borderId="1" xfId="1" applyFont="1" applyFill="1" applyBorder="1" applyAlignment="1">
      <alignment horizontal="left"/>
    </xf>
    <xf numFmtId="0" fontId="2" fillId="2" borderId="2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4" fontId="3" fillId="3" borderId="4" xfId="1" applyNumberFormat="1" applyFont="1" applyFill="1" applyBorder="1" applyAlignment="1">
      <alignment horizontal="left"/>
    </xf>
    <xf numFmtId="0" fontId="3" fillId="3" borderId="5" xfId="1" applyFont="1" applyFill="1" applyBorder="1" applyAlignment="1">
      <alignment horizontal="left"/>
    </xf>
    <xf numFmtId="0" fontId="3" fillId="3" borderId="6" xfId="1" applyFont="1" applyFill="1" applyBorder="1" applyAlignment="1">
      <alignment horizontal="left"/>
    </xf>
    <xf numFmtId="14" fontId="3" fillId="4" borderId="1" xfId="1" applyNumberFormat="1" applyFont="1" applyFill="1" applyBorder="1" applyAlignment="1">
      <alignment horizontal="left"/>
    </xf>
    <xf numFmtId="0" fontId="3" fillId="4" borderId="2" xfId="1" applyFont="1" applyFill="1" applyBorder="1" applyAlignment="1">
      <alignment horizontal="left"/>
    </xf>
    <xf numFmtId="0" fontId="3" fillId="4" borderId="3" xfId="1" applyFont="1" applyFill="1" applyBorder="1" applyAlignment="1">
      <alignment horizontal="left"/>
    </xf>
    <xf numFmtId="14" fontId="3" fillId="4" borderId="4" xfId="1" applyNumberFormat="1" applyFont="1" applyFill="1" applyBorder="1" applyAlignment="1">
      <alignment horizontal="left"/>
    </xf>
    <xf numFmtId="0" fontId="3" fillId="4" borderId="5" xfId="1" applyFont="1" applyFill="1" applyBorder="1" applyAlignment="1">
      <alignment horizontal="left"/>
    </xf>
    <xf numFmtId="0" fontId="3" fillId="4" borderId="6" xfId="1" applyFont="1" applyFill="1" applyBorder="1" applyAlignment="1">
      <alignment horizontal="left"/>
    </xf>
    <xf numFmtId="14" fontId="3" fillId="3" borderId="1" xfId="1" applyNumberFormat="1" applyFont="1" applyFill="1" applyBorder="1" applyAlignment="1">
      <alignment horizontal="left"/>
    </xf>
    <xf numFmtId="0" fontId="3" fillId="3" borderId="2" xfId="1" applyFont="1" applyFill="1" applyBorder="1" applyAlignment="1">
      <alignment horizontal="left"/>
    </xf>
    <xf numFmtId="0" fontId="3" fillId="3" borderId="3" xfId="1" applyFont="1" applyFill="1" applyBorder="1" applyAlignment="1">
      <alignment horizontal="left"/>
    </xf>
    <xf numFmtId="14" fontId="0" fillId="0" borderId="0" xfId="0" applyNumberFormat="1"/>
    <xf numFmtId="166" fontId="0" fillId="0" borderId="0" xfId="0" applyNumberFormat="1"/>
    <xf numFmtId="0" fontId="5" fillId="0" borderId="8" xfId="0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2" fontId="5" fillId="0" borderId="8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left" vertical="center"/>
    </xf>
    <xf numFmtId="4" fontId="5" fillId="0" borderId="8" xfId="0" applyNumberFormat="1" applyFont="1" applyBorder="1" applyAlignment="1">
      <alignment vertical="center"/>
    </xf>
    <xf numFmtId="165" fontId="5" fillId="0" borderId="8" xfId="0" quotePrefix="1" applyNumberFormat="1" applyFont="1" applyBorder="1" applyAlignment="1">
      <alignment horizontal="right" vertical="center"/>
    </xf>
    <xf numFmtId="49" fontId="5" fillId="0" borderId="8" xfId="0" applyNumberFormat="1" applyFont="1" applyBorder="1" applyAlignment="1">
      <alignment horizontal="right" vertical="center"/>
    </xf>
    <xf numFmtId="0" fontId="5" fillId="0" borderId="8" xfId="2" applyFont="1" applyBorder="1" applyAlignment="1">
      <alignment vertical="center"/>
    </xf>
    <xf numFmtId="0" fontId="9" fillId="0" borderId="8" xfId="0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0" fontId="5" fillId="2" borderId="8" xfId="0" applyFont="1" applyFill="1" applyBorder="1" applyAlignment="1">
      <alignment vertical="center"/>
    </xf>
    <xf numFmtId="0" fontId="7" fillId="2" borderId="8" xfId="2" applyFont="1" applyFill="1" applyBorder="1" applyAlignment="1">
      <alignment vertical="center"/>
    </xf>
    <xf numFmtId="0" fontId="7" fillId="2" borderId="8" xfId="2" applyFont="1" applyFill="1" applyBorder="1" applyAlignment="1">
      <alignment vertical="center" wrapText="1"/>
    </xf>
    <xf numFmtId="0" fontId="6" fillId="2" borderId="8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0" borderId="9" xfId="2" applyFont="1" applyBorder="1" applyAlignment="1">
      <alignment vertical="center"/>
    </xf>
    <xf numFmtId="0" fontId="7" fillId="0" borderId="0" xfId="0" applyFont="1" applyAlignment="1">
      <alignment vertical="center"/>
    </xf>
    <xf numFmtId="168" fontId="0" fillId="0" borderId="0" xfId="0" applyNumberForma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8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0" fillId="6" borderId="0" xfId="0" applyFont="1" applyFill="1" applyAlignment="1">
      <alignment horizontal="right"/>
    </xf>
    <xf numFmtId="0" fontId="0" fillId="9" borderId="0" xfId="0" applyFill="1"/>
    <xf numFmtId="0" fontId="0" fillId="0" borderId="0" xfId="0" applyAlignment="1">
      <alignment horizontal="right"/>
    </xf>
    <xf numFmtId="0" fontId="11" fillId="8" borderId="0" xfId="0" applyFont="1" applyFill="1" applyAlignment="1">
      <alignment horizontal="right"/>
    </xf>
    <xf numFmtId="0" fontId="11" fillId="10" borderId="10" xfId="0" applyFont="1" applyFill="1" applyBorder="1" applyAlignment="1">
      <alignment horizontal="right" vertical="center"/>
    </xf>
    <xf numFmtId="14" fontId="11" fillId="10" borderId="11" xfId="0" applyNumberFormat="1" applyFont="1" applyFill="1" applyBorder="1" applyAlignment="1">
      <alignment horizontal="center"/>
    </xf>
    <xf numFmtId="14" fontId="11" fillId="10" borderId="12" xfId="0" applyNumberFormat="1" applyFont="1" applyFill="1" applyBorder="1" applyAlignment="1">
      <alignment horizontal="center"/>
    </xf>
  </cellXfs>
  <cellStyles count="3">
    <cellStyle name="Normal" xfId="0" builtinId="0"/>
    <cellStyle name="Normal 12" xfId="1" xr:uid="{00000000-0005-0000-0000-000001000000}"/>
    <cellStyle name="Normal 2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47623</xdr:colOff>
      <xdr:row>8</xdr:row>
      <xdr:rowOff>47624</xdr:rowOff>
    </xdr:from>
    <xdr:to>
      <xdr:col>3</xdr:col>
      <xdr:colOff>447674</xdr:colOff>
      <xdr:row>10</xdr:row>
      <xdr:rowOff>142875</xdr:rowOff>
    </xdr:to>
    <xdr:sp macro="[0]!bt_baixar_web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61923" y="14477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20000"/>
                  <a:lumOff val="80000"/>
                </a:schemeClr>
              </a:solidFill>
            </a:rPr>
            <a:t>Baixar Bases Web</a:t>
          </a:r>
        </a:p>
      </xdr:txBody>
    </xdr:sp>
    <xdr:clientData/>
  </xdr:twoCellAnchor>
  <xdr:twoCellAnchor>
    <xdr:from>
      <xdr:col>1</xdr:col>
      <xdr:colOff>28573</xdr:colOff>
      <xdr:row>11</xdr:row>
      <xdr:rowOff>47624</xdr:rowOff>
    </xdr:from>
    <xdr:to>
      <xdr:col>3</xdr:col>
      <xdr:colOff>428624</xdr:colOff>
      <xdr:row>13</xdr:row>
      <xdr:rowOff>142875</xdr:rowOff>
    </xdr:to>
    <xdr:sp macro="[0]!bt_atualizar_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2873" y="20192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20000"/>
                  <a:lumOff val="80000"/>
                </a:schemeClr>
              </a:solidFill>
            </a:rPr>
            <a:t>Atualizar</a:t>
          </a:r>
          <a:r>
            <a:rPr lang="pt-BR" sz="1400" b="1" baseline="0">
              <a:solidFill>
                <a:schemeClr val="tx2">
                  <a:lumMod val="20000"/>
                  <a:lumOff val="80000"/>
                </a:schemeClr>
              </a:solidFill>
            </a:rPr>
            <a:t> dados</a:t>
          </a:r>
          <a:endParaRPr lang="pt-BR" sz="14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38098</xdr:colOff>
      <xdr:row>5</xdr:row>
      <xdr:rowOff>47624</xdr:rowOff>
    </xdr:from>
    <xdr:to>
      <xdr:col>3</xdr:col>
      <xdr:colOff>438149</xdr:colOff>
      <xdr:row>7</xdr:row>
      <xdr:rowOff>142875</xdr:rowOff>
    </xdr:to>
    <xdr:sp macro="[0]!bt_atualizacao_complet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52398" y="8762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tx2">
                  <a:lumMod val="20000"/>
                  <a:lumOff val="80000"/>
                </a:schemeClr>
              </a:solidFill>
            </a:rPr>
            <a:t>Atualização</a:t>
          </a:r>
          <a:r>
            <a:rPr lang="pt-BR" sz="1200" b="1" baseline="0">
              <a:solidFill>
                <a:schemeClr val="tx2">
                  <a:lumMod val="20000"/>
                  <a:lumOff val="80000"/>
                </a:schemeClr>
              </a:solidFill>
            </a:rPr>
            <a:t> Completa</a:t>
          </a:r>
          <a:endParaRPr lang="pt-BR" sz="1200" b="1">
            <a:solidFill>
              <a:schemeClr val="tx2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38098</xdr:colOff>
      <xdr:row>2</xdr:row>
      <xdr:rowOff>47624</xdr:rowOff>
    </xdr:from>
    <xdr:to>
      <xdr:col>3</xdr:col>
      <xdr:colOff>438149</xdr:colOff>
      <xdr:row>4</xdr:row>
      <xdr:rowOff>142875</xdr:rowOff>
    </xdr:to>
    <xdr:sp macro="[0]!bt_iniciar_dia" textlink="">
      <xdr:nvSpPr>
        <xdr:cNvPr id="6" name="Retângulo: Cantos Arredondados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2398" y="304799"/>
          <a:ext cx="1638301" cy="476251"/>
        </a:xfrm>
        <a:prstGeom prst="roundRect">
          <a:avLst/>
        </a:prstGeom>
        <a:solidFill>
          <a:schemeClr val="accent1">
            <a:lumMod val="50000"/>
          </a:schemeClr>
        </a:solidFill>
        <a:ln>
          <a:noFill/>
        </a:ln>
        <a:scene3d>
          <a:camera prst="orthographicFront"/>
          <a:lightRig rig="threePt" dir="t">
            <a:rot lat="0" lon="0" rev="10800000"/>
          </a:lightRig>
        </a:scene3d>
        <a:sp3d prstMaterial="dkEdge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tx2">
                  <a:lumMod val="20000"/>
                  <a:lumOff val="80000"/>
                </a:schemeClr>
              </a:solidFill>
            </a:rPr>
            <a:t>Iniciar dia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1"/>
  <dimension ref="A1:AK45"/>
  <sheetViews>
    <sheetView tabSelected="1" workbookViewId="0">
      <selection activeCell="L8" sqref="L8"/>
    </sheetView>
  </sheetViews>
  <sheetFormatPr defaultRowHeight="15" x14ac:dyDescent="0.25"/>
  <cols>
    <col min="1" max="1" width="1.7109375" customWidth="1"/>
    <col min="2" max="2" width="13.42578125" customWidth="1"/>
    <col min="3" max="3" width="5.140625" customWidth="1"/>
    <col min="4" max="4" width="7.28515625" customWidth="1"/>
    <col min="5" max="5" width="2.28515625" customWidth="1"/>
    <col min="6" max="6" width="1.7109375" customWidth="1"/>
  </cols>
  <sheetData>
    <row r="1" spans="1:37" x14ac:dyDescent="0.25">
      <c r="A1" s="3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</row>
    <row r="2" spans="1:37" ht="5.25" customHeight="1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</row>
    <row r="3" spans="1:37" x14ac:dyDescent="0.25">
      <c r="A3" s="45"/>
      <c r="B3" s="45"/>
      <c r="C3" s="45"/>
      <c r="D3" s="45"/>
      <c r="E3" s="45"/>
      <c r="F3" s="38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</row>
    <row r="4" spans="1:37" x14ac:dyDescent="0.25">
      <c r="A4" s="45"/>
      <c r="B4" s="45"/>
      <c r="C4" s="45"/>
      <c r="D4" s="45"/>
      <c r="E4" s="45"/>
      <c r="F4" s="38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</row>
    <row r="5" spans="1:37" x14ac:dyDescent="0.25">
      <c r="A5" s="45"/>
      <c r="B5" s="45"/>
      <c r="C5" s="45"/>
      <c r="D5" s="45"/>
      <c r="E5" s="45"/>
      <c r="F5" s="38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</row>
    <row r="6" spans="1:37" x14ac:dyDescent="0.25">
      <c r="A6" s="45"/>
      <c r="B6" s="45"/>
      <c r="C6" s="45"/>
      <c r="D6" s="45"/>
      <c r="E6" s="45"/>
      <c r="F6" s="38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</row>
    <row r="7" spans="1:37" x14ac:dyDescent="0.25">
      <c r="A7" s="45"/>
      <c r="B7" s="45"/>
      <c r="C7" s="45"/>
      <c r="D7" s="45"/>
      <c r="E7" s="45"/>
      <c r="F7" s="38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</row>
    <row r="8" spans="1:37" x14ac:dyDescent="0.25">
      <c r="A8" s="45"/>
      <c r="B8" s="45"/>
      <c r="C8" s="45"/>
      <c r="D8" s="45"/>
      <c r="E8" s="45"/>
      <c r="F8" s="38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  <c r="AC8" s="40"/>
      <c r="AD8" s="40"/>
      <c r="AE8" s="40"/>
      <c r="AF8" s="40"/>
      <c r="AG8" s="40"/>
      <c r="AH8" s="40"/>
      <c r="AI8" s="40"/>
      <c r="AJ8" s="40"/>
      <c r="AK8" s="40"/>
    </row>
    <row r="9" spans="1:37" x14ac:dyDescent="0.25">
      <c r="A9" s="45"/>
      <c r="B9" s="45"/>
      <c r="C9" s="45"/>
      <c r="D9" s="45"/>
      <c r="E9" s="45"/>
      <c r="F9" s="38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</row>
    <row r="10" spans="1:37" x14ac:dyDescent="0.25">
      <c r="A10" s="45"/>
      <c r="B10" s="45"/>
      <c r="C10" s="45"/>
      <c r="D10" s="45"/>
      <c r="E10" s="45"/>
      <c r="F10" s="38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</row>
    <row r="11" spans="1:37" x14ac:dyDescent="0.25">
      <c r="A11" s="45"/>
      <c r="B11" s="45"/>
      <c r="C11" s="45"/>
      <c r="D11" s="45"/>
      <c r="E11" s="45"/>
      <c r="F11" s="38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</row>
    <row r="12" spans="1:37" x14ac:dyDescent="0.25">
      <c r="A12" s="45"/>
      <c r="B12" s="45"/>
      <c r="C12" s="45"/>
      <c r="D12" s="45"/>
      <c r="E12" s="45"/>
      <c r="F12" s="38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  <c r="AC12" s="40"/>
      <c r="AD12" s="40"/>
      <c r="AE12" s="40"/>
      <c r="AF12" s="40"/>
      <c r="AG12" s="40"/>
      <c r="AH12" s="40"/>
      <c r="AI12" s="40"/>
      <c r="AJ12" s="40"/>
      <c r="AK12" s="40"/>
    </row>
    <row r="13" spans="1:37" x14ac:dyDescent="0.25">
      <c r="A13" s="45"/>
      <c r="B13" s="45"/>
      <c r="C13" s="45"/>
      <c r="D13" s="45"/>
      <c r="E13" s="45"/>
      <c r="F13" s="38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  <c r="AC13" s="40"/>
      <c r="AD13" s="40"/>
      <c r="AE13" s="40"/>
      <c r="AF13" s="40"/>
      <c r="AG13" s="40"/>
      <c r="AH13" s="40"/>
      <c r="AI13" s="40"/>
      <c r="AJ13" s="40"/>
      <c r="AK13" s="40"/>
    </row>
    <row r="14" spans="1:37" x14ac:dyDescent="0.25">
      <c r="A14" s="45"/>
      <c r="B14" s="45"/>
      <c r="C14" s="45"/>
      <c r="D14" s="45"/>
      <c r="E14" s="45"/>
      <c r="F14" s="38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</row>
    <row r="15" spans="1:37" ht="15.75" thickBot="1" x14ac:dyDescent="0.3">
      <c r="A15" s="45"/>
      <c r="B15" s="45"/>
      <c r="C15" s="45"/>
      <c r="D15" s="45"/>
      <c r="E15" s="45"/>
      <c r="F15" s="38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</row>
    <row r="16" spans="1:37" ht="16.5" thickTop="1" thickBot="1" x14ac:dyDescent="0.3">
      <c r="A16" s="45"/>
      <c r="B16" s="48" t="s">
        <v>136</v>
      </c>
      <c r="C16" s="49">
        <f>ult_atu</f>
        <v>44735</v>
      </c>
      <c r="D16" s="50"/>
      <c r="E16" s="45"/>
      <c r="F16" s="38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</row>
    <row r="17" spans="1:37" ht="15.75" thickTop="1" x14ac:dyDescent="0.25">
      <c r="A17" s="45"/>
      <c r="B17" s="45"/>
      <c r="C17" s="45"/>
      <c r="D17" s="45"/>
      <c r="E17" s="45"/>
      <c r="F17" s="38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</row>
    <row r="18" spans="1:37" x14ac:dyDescent="0.25">
      <c r="A18" s="45"/>
      <c r="B18" s="47">
        <v>238</v>
      </c>
      <c r="C18" s="41"/>
      <c r="D18" s="42">
        <f ca="1">aux!G3</f>
        <v>0</v>
      </c>
      <c r="E18" s="45"/>
      <c r="F18" s="38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</row>
    <row r="19" spans="1:37" x14ac:dyDescent="0.25">
      <c r="A19" s="45"/>
      <c r="B19" s="44">
        <v>550</v>
      </c>
      <c r="C19" s="39"/>
      <c r="D19" s="43">
        <f ca="1">aux!G4</f>
        <v>0</v>
      </c>
      <c r="E19" s="45"/>
      <c r="F19" s="38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</row>
    <row r="20" spans="1:37" x14ac:dyDescent="0.25">
      <c r="A20" s="45"/>
      <c r="B20" s="47" t="s">
        <v>134</v>
      </c>
      <c r="C20" s="41"/>
      <c r="D20" s="42">
        <f ca="1">aux!G5</f>
        <v>0</v>
      </c>
      <c r="E20" s="45"/>
      <c r="F20" s="38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</row>
    <row r="21" spans="1:37" x14ac:dyDescent="0.25">
      <c r="A21" s="45"/>
      <c r="B21" s="44" t="s">
        <v>130</v>
      </c>
      <c r="C21" s="39"/>
      <c r="D21" s="43">
        <f ca="1">aux!G6</f>
        <v>0</v>
      </c>
      <c r="E21" s="45"/>
      <c r="F21" s="38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</row>
    <row r="22" spans="1:37" x14ac:dyDescent="0.25">
      <c r="A22" s="45"/>
      <c r="B22" s="47" t="s">
        <v>133</v>
      </c>
      <c r="C22" s="41"/>
      <c r="D22" s="42">
        <f ca="1">aux!G7</f>
        <v>0</v>
      </c>
      <c r="E22" s="45"/>
      <c r="F22" s="38"/>
      <c r="G22" s="40"/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</row>
    <row r="23" spans="1:37" x14ac:dyDescent="0.25">
      <c r="A23" s="45"/>
      <c r="B23" s="44" t="s">
        <v>132</v>
      </c>
      <c r="C23" s="39"/>
      <c r="D23" s="43">
        <f ca="1">aux!G8</f>
        <v>0</v>
      </c>
      <c r="E23" s="45"/>
      <c r="F23" s="38"/>
      <c r="G23" s="40"/>
      <c r="H23" s="40"/>
      <c r="I23" s="40"/>
      <c r="J23" s="40"/>
      <c r="K23" s="40"/>
      <c r="L23" s="40"/>
      <c r="M23" s="40"/>
      <c r="N23" s="40"/>
      <c r="O23" s="40"/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</row>
    <row r="24" spans="1:37" x14ac:dyDescent="0.25">
      <c r="A24" s="45"/>
      <c r="B24" s="47" t="s">
        <v>129</v>
      </c>
      <c r="C24" s="41"/>
      <c r="D24" s="42">
        <f ca="1">aux!G9</f>
        <v>0</v>
      </c>
      <c r="E24" s="45"/>
      <c r="F24" s="38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</row>
    <row r="25" spans="1:37" x14ac:dyDescent="0.25">
      <c r="A25" s="45"/>
      <c r="B25" s="44" t="s">
        <v>131</v>
      </c>
      <c r="C25" s="39"/>
      <c r="D25" s="43">
        <f ca="1">aux!G10</f>
        <v>0</v>
      </c>
      <c r="E25" s="45"/>
      <c r="F25" s="38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</row>
    <row r="26" spans="1:37" x14ac:dyDescent="0.25">
      <c r="A26" s="45"/>
      <c r="B26" s="45"/>
      <c r="C26" s="45"/>
      <c r="D26" s="45"/>
      <c r="E26" s="45"/>
      <c r="F26" s="38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</row>
    <row r="27" spans="1:37" x14ac:dyDescent="0.25">
      <c r="A27" s="45"/>
      <c r="B27" s="45"/>
      <c r="C27" s="45"/>
      <c r="D27" s="45"/>
      <c r="E27" s="45"/>
      <c r="F27" s="38"/>
      <c r="G27" s="40"/>
      <c r="H27" s="40"/>
      <c r="I27" s="40"/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</row>
    <row r="28" spans="1:37" x14ac:dyDescent="0.25">
      <c r="A28" s="45"/>
      <c r="B28" s="45"/>
      <c r="C28" s="45"/>
      <c r="D28" s="45"/>
      <c r="E28" s="45"/>
      <c r="F28" s="38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</row>
    <row r="29" spans="1:37" x14ac:dyDescent="0.25">
      <c r="A29" s="45"/>
      <c r="B29" s="45"/>
      <c r="C29" s="45"/>
      <c r="D29" s="45"/>
      <c r="E29" s="45"/>
      <c r="F29" s="38"/>
      <c r="G29" s="40"/>
      <c r="H29" s="40"/>
      <c r="I29" s="40"/>
      <c r="J29" s="40"/>
      <c r="K29" s="40"/>
      <c r="L29" s="40"/>
      <c r="M29" s="40"/>
      <c r="N29" s="40"/>
      <c r="O29" s="40"/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</row>
    <row r="30" spans="1:37" x14ac:dyDescent="0.25">
      <c r="A30" s="45"/>
      <c r="B30" s="45"/>
      <c r="C30" s="45"/>
      <c r="D30" s="45"/>
      <c r="E30" s="45"/>
      <c r="F30" s="38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</row>
    <row r="31" spans="1:37" x14ac:dyDescent="0.25">
      <c r="A31" s="45"/>
      <c r="B31" s="45"/>
      <c r="C31" s="45"/>
      <c r="D31" s="45"/>
      <c r="E31" s="45"/>
      <c r="F31" s="38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</row>
    <row r="32" spans="1:37" x14ac:dyDescent="0.25">
      <c r="A32" s="45"/>
      <c r="B32" s="45"/>
      <c r="C32" s="45"/>
      <c r="D32" s="45"/>
      <c r="E32" s="45"/>
      <c r="F32" s="38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</row>
    <row r="33" spans="1:37" x14ac:dyDescent="0.25">
      <c r="A33" s="45"/>
      <c r="B33" s="45"/>
      <c r="C33" s="45"/>
      <c r="D33" s="45"/>
      <c r="E33" s="45"/>
      <c r="F33" s="38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</row>
    <row r="34" spans="1:37" x14ac:dyDescent="0.25">
      <c r="A34" s="45"/>
      <c r="B34" s="45"/>
      <c r="C34" s="45"/>
      <c r="D34" s="45"/>
      <c r="E34" s="45"/>
      <c r="F34" s="38"/>
      <c r="G34" s="40"/>
      <c r="H34" s="40"/>
      <c r="I34" s="40"/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</row>
    <row r="35" spans="1:37" x14ac:dyDescent="0.25">
      <c r="A35" s="45"/>
      <c r="B35" s="45"/>
      <c r="C35" s="45"/>
      <c r="D35" s="45"/>
      <c r="E35" s="45"/>
      <c r="F35" s="38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</row>
    <row r="36" spans="1:37" x14ac:dyDescent="0.25">
      <c r="A36" s="45"/>
      <c r="B36" s="45"/>
      <c r="C36" s="45"/>
      <c r="D36" s="45"/>
      <c r="E36" s="45"/>
      <c r="F36" s="38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</row>
    <row r="37" spans="1:37" x14ac:dyDescent="0.25">
      <c r="A37" s="45"/>
      <c r="B37" s="45"/>
      <c r="C37" s="45"/>
      <c r="D37" s="45"/>
      <c r="E37" s="45"/>
      <c r="F37" s="38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</row>
    <row r="38" spans="1:37" x14ac:dyDescent="0.25">
      <c r="A38" s="45"/>
      <c r="B38" s="45"/>
      <c r="C38" s="45"/>
      <c r="D38" s="45"/>
      <c r="E38" s="45"/>
      <c r="F38" s="38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</row>
    <row r="39" spans="1:37" x14ac:dyDescent="0.25">
      <c r="A39" s="45"/>
      <c r="B39" s="45"/>
      <c r="C39" s="45"/>
      <c r="D39" s="45"/>
      <c r="E39" s="45"/>
      <c r="F39" s="38"/>
      <c r="G39" s="40"/>
      <c r="H39" s="40"/>
      <c r="I39" s="40"/>
      <c r="J39" s="40"/>
      <c r="K39" s="40"/>
      <c r="L39" s="40"/>
      <c r="M39" s="40"/>
      <c r="N39" s="40"/>
      <c r="O39" s="40"/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</row>
    <row r="40" spans="1:37" x14ac:dyDescent="0.25">
      <c r="A40" s="45"/>
      <c r="B40" s="45"/>
      <c r="C40" s="45"/>
      <c r="D40" s="45"/>
      <c r="E40" s="45"/>
      <c r="F40" s="38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</row>
    <row r="41" spans="1:37" x14ac:dyDescent="0.25">
      <c r="A41" s="45"/>
      <c r="B41" s="45"/>
      <c r="C41" s="45"/>
      <c r="D41" s="45"/>
      <c r="E41" s="45"/>
      <c r="F41" s="38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</row>
    <row r="42" spans="1:37" x14ac:dyDescent="0.25">
      <c r="A42" s="45"/>
      <c r="B42" s="45"/>
      <c r="C42" s="45"/>
      <c r="D42" s="45"/>
      <c r="E42" s="45"/>
      <c r="F42" s="38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</row>
    <row r="43" spans="1:37" x14ac:dyDescent="0.25">
      <c r="A43" s="45"/>
      <c r="B43" s="45"/>
      <c r="C43" s="45"/>
      <c r="D43" s="45"/>
      <c r="E43" s="45"/>
      <c r="F43" s="38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</row>
    <row r="44" spans="1:37" x14ac:dyDescent="0.25">
      <c r="A44" s="45"/>
      <c r="B44" s="45"/>
      <c r="C44" s="45"/>
      <c r="D44" s="45"/>
      <c r="E44" s="45"/>
      <c r="F44" s="38"/>
      <c r="G44" s="40"/>
      <c r="H44" s="40"/>
      <c r="I44" s="40"/>
      <c r="J44" s="40"/>
      <c r="K44" s="40"/>
      <c r="L44" s="40"/>
      <c r="M44" s="40"/>
      <c r="N44" s="40"/>
      <c r="O44" s="40"/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</row>
    <row r="45" spans="1:37" x14ac:dyDescent="0.25">
      <c r="A45" s="45"/>
      <c r="B45" s="45"/>
      <c r="C45" s="45"/>
      <c r="D45" s="45"/>
      <c r="E45" s="45"/>
      <c r="F45" s="38"/>
      <c r="G45" s="40"/>
      <c r="H45" s="40"/>
      <c r="I45" s="40"/>
      <c r="J45" s="40"/>
      <c r="K45" s="40"/>
      <c r="L45" s="40"/>
      <c r="M45" s="40"/>
      <c r="N45" s="40"/>
      <c r="O45" s="40"/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</row>
  </sheetData>
  <mergeCells count="1">
    <mergeCell ref="C16:D16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8737753A-6257-4EE6-90ED-5F8EE133D1D7}">
            <x14:iconSet iconSet="3TrafficLight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2" iconId="0"/>
              <x14:cfIcon iconSet="3TrafficLights2" iconId="1"/>
              <x14:cfIcon iconSet="3TrafficLights2" iconId="2"/>
            </x14:iconSet>
          </x14:cfRule>
          <xm:sqref>D18:D25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9"/>
  <dimension ref="A1:C15"/>
  <sheetViews>
    <sheetView workbookViewId="0"/>
  </sheetViews>
  <sheetFormatPr defaultRowHeight="15" x14ac:dyDescent="0.25"/>
  <cols>
    <col min="1" max="1" width="16.28515625" bestFit="1" customWidth="1"/>
    <col min="2" max="2" width="21" bestFit="1" customWidth="1"/>
    <col min="3" max="3" width="22.7109375" style="17" bestFit="1" customWidth="1"/>
  </cols>
  <sheetData>
    <row r="1" spans="1:3" x14ac:dyDescent="0.25">
      <c r="A1" t="s">
        <v>137</v>
      </c>
      <c r="B1" t="s">
        <v>138</v>
      </c>
      <c r="C1" s="17" t="s">
        <v>139</v>
      </c>
    </row>
    <row r="2" spans="1:3" x14ac:dyDescent="0.25">
      <c r="A2" t="s">
        <v>21</v>
      </c>
      <c r="B2" t="s">
        <v>22</v>
      </c>
      <c r="C2" s="17" t="s">
        <v>23</v>
      </c>
    </row>
    <row r="3" spans="1:3" x14ac:dyDescent="0.25">
      <c r="A3">
        <v>210100</v>
      </c>
      <c r="B3" s="16">
        <v>44570</v>
      </c>
      <c r="C3" s="17">
        <v>11804.756262000001</v>
      </c>
    </row>
    <row r="4" spans="1:3" x14ac:dyDescent="0.25">
      <c r="A4">
        <v>210100</v>
      </c>
      <c r="B4" s="16">
        <v>44929</v>
      </c>
      <c r="C4" s="17">
        <v>11804.756262000001</v>
      </c>
    </row>
    <row r="5" spans="1:3" x14ac:dyDescent="0.25">
      <c r="A5">
        <v>210100</v>
      </c>
      <c r="B5" s="16">
        <v>44935</v>
      </c>
      <c r="C5" s="17">
        <v>11804.756262000001</v>
      </c>
    </row>
    <row r="6" spans="1:3" x14ac:dyDescent="0.25">
      <c r="A6">
        <v>210100</v>
      </c>
      <c r="B6" s="16">
        <v>45294</v>
      </c>
      <c r="C6" s="17">
        <v>11804.756262000001</v>
      </c>
    </row>
    <row r="7" spans="1:3" x14ac:dyDescent="0.25">
      <c r="A7">
        <v>210100</v>
      </c>
      <c r="B7" s="16">
        <v>45300</v>
      </c>
      <c r="C7" s="17">
        <v>11804.756262000001</v>
      </c>
    </row>
    <row r="8" spans="1:3" x14ac:dyDescent="0.25">
      <c r="A8">
        <v>210100</v>
      </c>
      <c r="B8" s="16">
        <v>45660</v>
      </c>
      <c r="C8" s="17">
        <v>11804.756262000001</v>
      </c>
    </row>
    <row r="9" spans="1:3" x14ac:dyDescent="0.25">
      <c r="A9">
        <v>210100</v>
      </c>
      <c r="B9" s="16">
        <v>45666</v>
      </c>
      <c r="C9" s="17">
        <v>11804.756262000001</v>
      </c>
    </row>
    <row r="10" spans="1:3" x14ac:dyDescent="0.25">
      <c r="A10">
        <v>210100</v>
      </c>
      <c r="B10" s="16">
        <v>46025</v>
      </c>
      <c r="C10" s="17">
        <v>11804.756262000001</v>
      </c>
    </row>
    <row r="11" spans="1:3" x14ac:dyDescent="0.25">
      <c r="A11">
        <v>210100</v>
      </c>
      <c r="B11" s="16">
        <v>46031</v>
      </c>
      <c r="C11" s="17">
        <v>11804.756262000001</v>
      </c>
    </row>
    <row r="12" spans="1:3" x14ac:dyDescent="0.25">
      <c r="A12">
        <v>210100</v>
      </c>
      <c r="B12" s="16">
        <v>46390</v>
      </c>
      <c r="C12" s="17">
        <v>11804.756262000001</v>
      </c>
    </row>
    <row r="13" spans="1:3" x14ac:dyDescent="0.25">
      <c r="A13">
        <v>210100</v>
      </c>
      <c r="B13" s="16">
        <v>46396</v>
      </c>
      <c r="C13" s="17">
        <v>11804.756262000001</v>
      </c>
    </row>
    <row r="14" spans="1:3" x14ac:dyDescent="0.25">
      <c r="A14">
        <v>210100</v>
      </c>
      <c r="B14" s="16">
        <v>46755</v>
      </c>
      <c r="C14" s="17">
        <v>11804.756262000001</v>
      </c>
    </row>
    <row r="15" spans="1:3" x14ac:dyDescent="0.25">
      <c r="A15">
        <v>210100</v>
      </c>
      <c r="B15" s="16">
        <v>46761</v>
      </c>
      <c r="C15" s="17">
        <v>11804.756262000001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/>
  <dimension ref="A1:E186"/>
  <sheetViews>
    <sheetView workbookViewId="0"/>
  </sheetViews>
  <sheetFormatPr defaultRowHeight="15" x14ac:dyDescent="0.25"/>
  <cols>
    <col min="1" max="1" width="8" customWidth="1"/>
    <col min="2" max="2" width="11.85546875" style="16" bestFit="1" customWidth="1"/>
    <col min="3" max="3" width="20.140625" style="37" customWidth="1"/>
    <col min="4" max="4" width="30.28515625" style="37" bestFit="1" customWidth="1"/>
    <col min="5" max="5" width="20" style="37" bestFit="1" customWidth="1"/>
  </cols>
  <sheetData>
    <row r="1" spans="1:5" x14ac:dyDescent="0.25">
      <c r="A1" t="s">
        <v>140</v>
      </c>
      <c r="D1" s="37" t="s">
        <v>141</v>
      </c>
    </row>
    <row r="2" spans="1:5" x14ac:dyDescent="0.25">
      <c r="A2" t="s">
        <v>21</v>
      </c>
      <c r="B2" s="16" t="s">
        <v>22</v>
      </c>
      <c r="C2" s="37" t="s">
        <v>49</v>
      </c>
      <c r="D2" s="37" t="s">
        <v>50</v>
      </c>
      <c r="E2" s="37" t="s">
        <v>56</v>
      </c>
    </row>
    <row r="3" spans="1:5" x14ac:dyDescent="0.25">
      <c r="A3">
        <v>210100</v>
      </c>
      <c r="B3" s="16">
        <v>44805</v>
      </c>
      <c r="C3" s="37" t="s">
        <v>142</v>
      </c>
      <c r="D3" s="37" t="s">
        <v>51</v>
      </c>
      <c r="E3" s="37" t="s">
        <v>57</v>
      </c>
    </row>
    <row r="4" spans="1:5" x14ac:dyDescent="0.25">
      <c r="A4">
        <v>210100</v>
      </c>
      <c r="B4" s="16">
        <v>44986</v>
      </c>
      <c r="C4" s="37" t="s">
        <v>143</v>
      </c>
      <c r="D4" s="37" t="s">
        <v>51</v>
      </c>
      <c r="E4" s="37" t="s">
        <v>144</v>
      </c>
    </row>
    <row r="5" spans="1:5" x14ac:dyDescent="0.25">
      <c r="A5">
        <v>210100</v>
      </c>
      <c r="B5" s="16">
        <v>45170</v>
      </c>
      <c r="C5" s="37" t="s">
        <v>145</v>
      </c>
      <c r="D5" s="37" t="s">
        <v>51</v>
      </c>
      <c r="E5" s="37" t="s">
        <v>58</v>
      </c>
    </row>
    <row r="6" spans="1:5" x14ac:dyDescent="0.25">
      <c r="A6">
        <v>210100</v>
      </c>
      <c r="B6" s="16">
        <v>45352</v>
      </c>
      <c r="C6" s="37" t="s">
        <v>146</v>
      </c>
      <c r="D6" s="37" t="s">
        <v>51</v>
      </c>
      <c r="E6" s="37" t="s">
        <v>59</v>
      </c>
    </row>
    <row r="7" spans="1:5" x14ac:dyDescent="0.25">
      <c r="A7">
        <v>210100</v>
      </c>
      <c r="B7" s="16">
        <v>45536</v>
      </c>
      <c r="C7" s="37" t="s">
        <v>147</v>
      </c>
      <c r="D7" s="37" t="s">
        <v>51</v>
      </c>
      <c r="E7" s="37" t="s">
        <v>148</v>
      </c>
    </row>
    <row r="8" spans="1:5" x14ac:dyDescent="0.25">
      <c r="A8">
        <v>210100</v>
      </c>
      <c r="B8" s="16">
        <v>45717</v>
      </c>
      <c r="C8" s="37" t="s">
        <v>149</v>
      </c>
      <c r="D8" s="37" t="s">
        <v>51</v>
      </c>
      <c r="E8" s="37" t="s">
        <v>150</v>
      </c>
    </row>
    <row r="9" spans="1:5" x14ac:dyDescent="0.25">
      <c r="A9">
        <v>210100</v>
      </c>
      <c r="B9" s="16">
        <v>45901</v>
      </c>
      <c r="C9" s="37" t="s">
        <v>151</v>
      </c>
      <c r="D9" s="37" t="s">
        <v>51</v>
      </c>
      <c r="E9" s="37" t="s">
        <v>60</v>
      </c>
    </row>
    <row r="10" spans="1:5" x14ac:dyDescent="0.25">
      <c r="A10">
        <v>210100</v>
      </c>
      <c r="B10" s="16">
        <v>46082</v>
      </c>
      <c r="C10" s="37" t="s">
        <v>152</v>
      </c>
      <c r="D10" s="37" t="s">
        <v>51</v>
      </c>
      <c r="E10" s="37" t="s">
        <v>61</v>
      </c>
    </row>
    <row r="11" spans="1:5" x14ac:dyDescent="0.25">
      <c r="A11">
        <v>210100</v>
      </c>
      <c r="B11" s="16">
        <v>46266</v>
      </c>
      <c r="C11" s="37" t="s">
        <v>153</v>
      </c>
      <c r="D11" s="37" t="s">
        <v>51</v>
      </c>
      <c r="E11" s="37" t="s">
        <v>62</v>
      </c>
    </row>
    <row r="12" spans="1:5" x14ac:dyDescent="0.25">
      <c r="A12">
        <v>210100</v>
      </c>
      <c r="B12" s="16">
        <v>46447</v>
      </c>
      <c r="C12" s="37" t="s">
        <v>154</v>
      </c>
      <c r="D12" s="37" t="s">
        <v>51</v>
      </c>
      <c r="E12" s="37" t="s">
        <v>155</v>
      </c>
    </row>
    <row r="13" spans="1:5" x14ac:dyDescent="0.25">
      <c r="A13">
        <v>210100</v>
      </c>
      <c r="B13" s="16">
        <v>46631</v>
      </c>
      <c r="C13" s="37" t="s">
        <v>156</v>
      </c>
      <c r="D13" s="37" t="s">
        <v>51</v>
      </c>
      <c r="E13" s="37" t="s">
        <v>63</v>
      </c>
    </row>
    <row r="14" spans="1:5" x14ac:dyDescent="0.25">
      <c r="A14">
        <v>210100</v>
      </c>
      <c r="B14" s="16">
        <v>46813</v>
      </c>
      <c r="C14" s="37" t="s">
        <v>157</v>
      </c>
      <c r="D14" s="37" t="s">
        <v>51</v>
      </c>
      <c r="E14" s="37" t="s">
        <v>158</v>
      </c>
    </row>
    <row r="15" spans="1:5" x14ac:dyDescent="0.25">
      <c r="A15">
        <v>210100</v>
      </c>
      <c r="B15" s="16">
        <v>46997</v>
      </c>
      <c r="C15" s="37" t="s">
        <v>159</v>
      </c>
      <c r="D15" s="37" t="s">
        <v>51</v>
      </c>
      <c r="E15" s="37" t="s">
        <v>160</v>
      </c>
    </row>
    <row r="16" spans="1:5" x14ac:dyDescent="0.25">
      <c r="A16">
        <v>100000</v>
      </c>
      <c r="B16" s="16">
        <v>44743</v>
      </c>
      <c r="C16" s="37" t="s">
        <v>161</v>
      </c>
      <c r="D16" s="37" t="s">
        <v>51</v>
      </c>
      <c r="E16" s="37" t="s">
        <v>64</v>
      </c>
    </row>
    <row r="17" spans="1:5" x14ac:dyDescent="0.25">
      <c r="A17">
        <v>100000</v>
      </c>
      <c r="B17" s="16">
        <v>44835</v>
      </c>
      <c r="C17" s="37" t="s">
        <v>162</v>
      </c>
      <c r="D17" s="37" t="s">
        <v>51</v>
      </c>
      <c r="E17" s="37" t="s">
        <v>163</v>
      </c>
    </row>
    <row r="18" spans="1:5" x14ac:dyDescent="0.25">
      <c r="A18">
        <v>100000</v>
      </c>
      <c r="B18" s="16">
        <v>44927</v>
      </c>
      <c r="C18" s="37" t="s">
        <v>164</v>
      </c>
      <c r="D18" s="37" t="s">
        <v>51</v>
      </c>
      <c r="E18" s="37" t="s">
        <v>165</v>
      </c>
    </row>
    <row r="19" spans="1:5" x14ac:dyDescent="0.25">
      <c r="A19">
        <v>100000</v>
      </c>
      <c r="B19" s="16">
        <v>45017</v>
      </c>
      <c r="C19" s="37" t="s">
        <v>166</v>
      </c>
      <c r="D19" s="37" t="s">
        <v>51</v>
      </c>
      <c r="E19" s="37" t="s">
        <v>65</v>
      </c>
    </row>
    <row r="20" spans="1:5" x14ac:dyDescent="0.25">
      <c r="A20">
        <v>100000</v>
      </c>
      <c r="B20" s="16">
        <v>45108</v>
      </c>
      <c r="C20" s="37" t="s">
        <v>167</v>
      </c>
      <c r="D20" s="37" t="s">
        <v>51</v>
      </c>
      <c r="E20" s="37" t="s">
        <v>168</v>
      </c>
    </row>
    <row r="21" spans="1:5" x14ac:dyDescent="0.25">
      <c r="A21">
        <v>100000</v>
      </c>
      <c r="B21" s="16">
        <v>45292</v>
      </c>
      <c r="C21" s="37" t="s">
        <v>169</v>
      </c>
      <c r="D21" s="37" t="s">
        <v>51</v>
      </c>
      <c r="E21" s="37" t="s">
        <v>66</v>
      </c>
    </row>
    <row r="22" spans="1:5" x14ac:dyDescent="0.25">
      <c r="A22">
        <v>100000</v>
      </c>
      <c r="B22" s="16">
        <v>45383</v>
      </c>
      <c r="C22" s="37" t="s">
        <v>170</v>
      </c>
      <c r="D22" s="37" t="s">
        <v>51</v>
      </c>
      <c r="E22" s="37" t="s">
        <v>171</v>
      </c>
    </row>
    <row r="23" spans="1:5" x14ac:dyDescent="0.25">
      <c r="A23">
        <v>100000</v>
      </c>
      <c r="B23" s="16">
        <v>45474</v>
      </c>
      <c r="C23" s="37" t="s">
        <v>172</v>
      </c>
      <c r="D23" s="37" t="s">
        <v>51</v>
      </c>
      <c r="E23" s="37" t="s">
        <v>173</v>
      </c>
    </row>
    <row r="24" spans="1:5" x14ac:dyDescent="0.25">
      <c r="A24">
        <v>100000</v>
      </c>
      <c r="B24" s="16">
        <v>45658</v>
      </c>
      <c r="C24" s="37" t="s">
        <v>174</v>
      </c>
      <c r="D24" s="37" t="s">
        <v>51</v>
      </c>
      <c r="E24" s="37" t="s">
        <v>175</v>
      </c>
    </row>
    <row r="25" spans="1:5" x14ac:dyDescent="0.25">
      <c r="A25">
        <v>100000</v>
      </c>
      <c r="B25" s="16">
        <v>45839</v>
      </c>
      <c r="C25" s="37" t="s">
        <v>176</v>
      </c>
      <c r="D25" s="37" t="s">
        <v>51</v>
      </c>
      <c r="E25" s="37" t="s">
        <v>177</v>
      </c>
    </row>
    <row r="26" spans="1:5" x14ac:dyDescent="0.25">
      <c r="A26">
        <v>100000</v>
      </c>
      <c r="B26" s="16">
        <v>46023</v>
      </c>
      <c r="C26" s="37" t="s">
        <v>178</v>
      </c>
      <c r="D26" s="37" t="s">
        <v>51</v>
      </c>
      <c r="E26" s="37" t="s">
        <v>179</v>
      </c>
    </row>
    <row r="27" spans="1:5" x14ac:dyDescent="0.25">
      <c r="A27">
        <v>100000</v>
      </c>
      <c r="B27" s="16">
        <v>47119</v>
      </c>
      <c r="C27" s="37" t="s">
        <v>180</v>
      </c>
      <c r="D27" s="37" t="s">
        <v>51</v>
      </c>
      <c r="E27" s="37" t="s">
        <v>181</v>
      </c>
    </row>
    <row r="28" spans="1:5" x14ac:dyDescent="0.25">
      <c r="A28">
        <v>720300</v>
      </c>
      <c r="B28" s="16">
        <v>45397</v>
      </c>
      <c r="C28" s="37" t="s">
        <v>182</v>
      </c>
      <c r="D28" s="37" t="s">
        <v>51</v>
      </c>
      <c r="E28" s="37" t="s">
        <v>67</v>
      </c>
    </row>
    <row r="29" spans="1:5" x14ac:dyDescent="0.25">
      <c r="A29">
        <v>760100</v>
      </c>
      <c r="B29" s="16">
        <v>45000</v>
      </c>
      <c r="C29" s="37" t="s">
        <v>183</v>
      </c>
      <c r="D29" s="37" t="s">
        <v>51</v>
      </c>
      <c r="E29" s="37" t="s">
        <v>68</v>
      </c>
    </row>
    <row r="30" spans="1:5" x14ac:dyDescent="0.25">
      <c r="A30">
        <v>760197</v>
      </c>
      <c r="B30" s="16">
        <v>44788</v>
      </c>
      <c r="C30" s="37" t="s">
        <v>184</v>
      </c>
      <c r="D30" s="37" t="s">
        <v>51</v>
      </c>
      <c r="E30" s="37" t="s">
        <v>69</v>
      </c>
    </row>
    <row r="31" spans="1:5" x14ac:dyDescent="0.25">
      <c r="A31">
        <v>760197</v>
      </c>
      <c r="B31" s="16">
        <v>44880</v>
      </c>
      <c r="C31" s="37" t="s">
        <v>185</v>
      </c>
      <c r="D31" s="37" t="s">
        <v>51</v>
      </c>
      <c r="E31" s="37" t="s">
        <v>186</v>
      </c>
    </row>
    <row r="32" spans="1:5" x14ac:dyDescent="0.25">
      <c r="A32">
        <v>760197</v>
      </c>
      <c r="B32" s="16">
        <v>44972</v>
      </c>
      <c r="C32" s="37" t="s">
        <v>187</v>
      </c>
      <c r="D32" s="37" t="s">
        <v>51</v>
      </c>
      <c r="E32" s="37" t="s">
        <v>70</v>
      </c>
    </row>
    <row r="33" spans="1:5" x14ac:dyDescent="0.25">
      <c r="A33">
        <v>760197</v>
      </c>
      <c r="B33" s="16">
        <v>45061</v>
      </c>
      <c r="C33" s="37" t="s">
        <v>188</v>
      </c>
      <c r="D33" s="37" t="s">
        <v>51</v>
      </c>
      <c r="E33" s="37" t="s">
        <v>186</v>
      </c>
    </row>
    <row r="34" spans="1:5" x14ac:dyDescent="0.25">
      <c r="A34">
        <v>760197</v>
      </c>
      <c r="B34" s="16">
        <v>45153</v>
      </c>
      <c r="C34" s="37" t="s">
        <v>189</v>
      </c>
      <c r="D34" s="37" t="s">
        <v>51</v>
      </c>
      <c r="E34" s="37" t="s">
        <v>70</v>
      </c>
    </row>
    <row r="35" spans="1:5" x14ac:dyDescent="0.25">
      <c r="A35">
        <v>760197</v>
      </c>
      <c r="B35" s="16">
        <v>45245</v>
      </c>
      <c r="C35" s="37" t="s">
        <v>190</v>
      </c>
      <c r="D35" s="37" t="s">
        <v>51</v>
      </c>
      <c r="E35" s="37" t="s">
        <v>191</v>
      </c>
    </row>
    <row r="36" spans="1:5" x14ac:dyDescent="0.25">
      <c r="A36">
        <v>760197</v>
      </c>
      <c r="B36" s="16">
        <v>45337</v>
      </c>
      <c r="C36" s="37" t="s">
        <v>192</v>
      </c>
      <c r="D36" s="37" t="s">
        <v>51</v>
      </c>
      <c r="E36" s="37" t="s">
        <v>70</v>
      </c>
    </row>
    <row r="37" spans="1:5" x14ac:dyDescent="0.25">
      <c r="A37">
        <v>760197</v>
      </c>
      <c r="B37" s="16">
        <v>45427</v>
      </c>
      <c r="C37" s="37" t="s">
        <v>193</v>
      </c>
      <c r="D37" s="37" t="s">
        <v>51</v>
      </c>
      <c r="E37" s="37" t="s">
        <v>191</v>
      </c>
    </row>
    <row r="38" spans="1:5" x14ac:dyDescent="0.25">
      <c r="A38">
        <v>760197</v>
      </c>
      <c r="B38" s="16">
        <v>45519</v>
      </c>
      <c r="C38" s="37" t="s">
        <v>194</v>
      </c>
      <c r="D38" s="37" t="s">
        <v>51</v>
      </c>
      <c r="E38" s="37" t="s">
        <v>70</v>
      </c>
    </row>
    <row r="39" spans="1:5" x14ac:dyDescent="0.25">
      <c r="A39">
        <v>760197</v>
      </c>
      <c r="B39" s="16">
        <v>45611</v>
      </c>
      <c r="C39" s="37" t="s">
        <v>195</v>
      </c>
      <c r="D39" s="37" t="s">
        <v>51</v>
      </c>
      <c r="E39" s="37" t="s">
        <v>191</v>
      </c>
    </row>
    <row r="40" spans="1:5" x14ac:dyDescent="0.25">
      <c r="A40">
        <v>760197</v>
      </c>
      <c r="B40" s="16">
        <v>45703</v>
      </c>
      <c r="C40" s="37" t="s">
        <v>196</v>
      </c>
      <c r="D40" s="37" t="s">
        <v>51</v>
      </c>
      <c r="E40" s="37" t="s">
        <v>71</v>
      </c>
    </row>
    <row r="41" spans="1:5" x14ac:dyDescent="0.25">
      <c r="A41">
        <v>760197</v>
      </c>
      <c r="B41" s="16">
        <v>45792</v>
      </c>
      <c r="C41" s="37" t="s">
        <v>197</v>
      </c>
      <c r="D41" s="37" t="s">
        <v>51</v>
      </c>
      <c r="E41" s="37" t="s">
        <v>191</v>
      </c>
    </row>
    <row r="42" spans="1:5" x14ac:dyDescent="0.25">
      <c r="A42">
        <v>760197</v>
      </c>
      <c r="B42" s="16">
        <v>45884</v>
      </c>
      <c r="C42" s="37" t="s">
        <v>198</v>
      </c>
      <c r="D42" s="37" t="s">
        <v>51</v>
      </c>
      <c r="E42" s="37" t="s">
        <v>71</v>
      </c>
    </row>
    <row r="43" spans="1:5" x14ac:dyDescent="0.25">
      <c r="A43">
        <v>760197</v>
      </c>
      <c r="B43" s="16">
        <v>45976</v>
      </c>
      <c r="C43" s="37" t="s">
        <v>199</v>
      </c>
      <c r="D43" s="37" t="s">
        <v>51</v>
      </c>
      <c r="E43" s="37" t="s">
        <v>200</v>
      </c>
    </row>
    <row r="44" spans="1:5" x14ac:dyDescent="0.25">
      <c r="A44">
        <v>760197</v>
      </c>
      <c r="B44" s="16">
        <v>46068</v>
      </c>
      <c r="C44" s="37" t="s">
        <v>201</v>
      </c>
      <c r="D44" s="37" t="s">
        <v>51</v>
      </c>
      <c r="E44" s="37" t="s">
        <v>71</v>
      </c>
    </row>
    <row r="45" spans="1:5" x14ac:dyDescent="0.25">
      <c r="A45">
        <v>760197</v>
      </c>
      <c r="B45" s="16">
        <v>46157</v>
      </c>
      <c r="C45" s="37" t="s">
        <v>202</v>
      </c>
      <c r="D45" s="37" t="s">
        <v>51</v>
      </c>
      <c r="E45" s="37" t="s">
        <v>200</v>
      </c>
    </row>
    <row r="46" spans="1:5" x14ac:dyDescent="0.25">
      <c r="A46">
        <v>760197</v>
      </c>
      <c r="B46" s="16">
        <v>46249</v>
      </c>
      <c r="C46" s="37" t="s">
        <v>203</v>
      </c>
      <c r="D46" s="37" t="s">
        <v>51</v>
      </c>
      <c r="E46" s="37" t="s">
        <v>71</v>
      </c>
    </row>
    <row r="47" spans="1:5" x14ac:dyDescent="0.25">
      <c r="A47">
        <v>760197</v>
      </c>
      <c r="B47" s="16">
        <v>46341</v>
      </c>
      <c r="C47" s="37" t="s">
        <v>204</v>
      </c>
      <c r="D47" s="37" t="s">
        <v>51</v>
      </c>
      <c r="E47" s="37" t="s">
        <v>200</v>
      </c>
    </row>
    <row r="48" spans="1:5" x14ac:dyDescent="0.25">
      <c r="A48">
        <v>760197</v>
      </c>
      <c r="B48" s="16">
        <v>46433</v>
      </c>
      <c r="C48" s="37" t="s">
        <v>205</v>
      </c>
      <c r="D48" s="37" t="s">
        <v>51</v>
      </c>
      <c r="E48" s="37" t="s">
        <v>72</v>
      </c>
    </row>
    <row r="49" spans="1:5" x14ac:dyDescent="0.25">
      <c r="A49">
        <v>760197</v>
      </c>
      <c r="B49" s="16">
        <v>46522</v>
      </c>
      <c r="C49" s="37" t="s">
        <v>206</v>
      </c>
      <c r="D49" s="37" t="s">
        <v>51</v>
      </c>
      <c r="E49" s="37" t="s">
        <v>200</v>
      </c>
    </row>
    <row r="50" spans="1:5" x14ac:dyDescent="0.25">
      <c r="A50">
        <v>760197</v>
      </c>
      <c r="B50" s="16">
        <v>46614</v>
      </c>
      <c r="C50" s="37" t="s">
        <v>207</v>
      </c>
      <c r="D50" s="37" t="s">
        <v>51</v>
      </c>
      <c r="E50" s="37" t="s">
        <v>72</v>
      </c>
    </row>
    <row r="51" spans="1:5" x14ac:dyDescent="0.25">
      <c r="A51">
        <v>760197</v>
      </c>
      <c r="B51" s="16">
        <v>46706</v>
      </c>
      <c r="C51" s="37" t="s">
        <v>208</v>
      </c>
      <c r="D51" s="37" t="s">
        <v>51</v>
      </c>
      <c r="E51" s="37" t="s">
        <v>200</v>
      </c>
    </row>
    <row r="52" spans="1:5" x14ac:dyDescent="0.25">
      <c r="A52">
        <v>760197</v>
      </c>
      <c r="B52" s="16">
        <v>46798</v>
      </c>
      <c r="C52" s="37" t="s">
        <v>209</v>
      </c>
      <c r="D52" s="37" t="s">
        <v>51</v>
      </c>
      <c r="E52" s="37" t="s">
        <v>72</v>
      </c>
    </row>
    <row r="53" spans="1:5" x14ac:dyDescent="0.25">
      <c r="A53">
        <v>760197</v>
      </c>
      <c r="B53" s="16">
        <v>46888</v>
      </c>
      <c r="C53" s="37" t="s">
        <v>210</v>
      </c>
      <c r="D53" s="37" t="s">
        <v>51</v>
      </c>
      <c r="E53" s="37" t="s">
        <v>200</v>
      </c>
    </row>
    <row r="54" spans="1:5" x14ac:dyDescent="0.25">
      <c r="A54">
        <v>760197</v>
      </c>
      <c r="B54" s="16">
        <v>46980</v>
      </c>
      <c r="C54" s="37" t="s">
        <v>211</v>
      </c>
      <c r="D54" s="37" t="s">
        <v>51</v>
      </c>
      <c r="E54" s="37" t="s">
        <v>72</v>
      </c>
    </row>
    <row r="55" spans="1:5" x14ac:dyDescent="0.25">
      <c r="A55">
        <v>760197</v>
      </c>
      <c r="B55" s="16">
        <v>47072</v>
      </c>
      <c r="C55" s="37" t="s">
        <v>212</v>
      </c>
      <c r="D55" s="37" t="s">
        <v>51</v>
      </c>
      <c r="E55" s="37" t="s">
        <v>200</v>
      </c>
    </row>
    <row r="56" spans="1:5" x14ac:dyDescent="0.25">
      <c r="A56">
        <v>760197</v>
      </c>
      <c r="B56" s="16">
        <v>47164</v>
      </c>
      <c r="C56" s="37" t="s">
        <v>213</v>
      </c>
      <c r="D56" s="37" t="s">
        <v>51</v>
      </c>
      <c r="E56" s="37" t="s">
        <v>73</v>
      </c>
    </row>
    <row r="57" spans="1:5" x14ac:dyDescent="0.25">
      <c r="A57">
        <v>760197</v>
      </c>
      <c r="B57" s="16">
        <v>47253</v>
      </c>
      <c r="C57" s="37" t="s">
        <v>214</v>
      </c>
      <c r="D57" s="37" t="s">
        <v>51</v>
      </c>
      <c r="E57" s="37" t="s">
        <v>200</v>
      </c>
    </row>
    <row r="58" spans="1:5" x14ac:dyDescent="0.25">
      <c r="A58">
        <v>760197</v>
      </c>
      <c r="B58" s="16">
        <v>47345</v>
      </c>
      <c r="C58" s="37" t="s">
        <v>215</v>
      </c>
      <c r="D58" s="37" t="s">
        <v>51</v>
      </c>
      <c r="E58" s="37" t="s">
        <v>73</v>
      </c>
    </row>
    <row r="59" spans="1:5" x14ac:dyDescent="0.25">
      <c r="A59">
        <v>760197</v>
      </c>
      <c r="B59" s="16">
        <v>47437</v>
      </c>
      <c r="C59" s="37" t="s">
        <v>216</v>
      </c>
      <c r="D59" s="37" t="s">
        <v>51</v>
      </c>
      <c r="E59" s="37" t="s">
        <v>200</v>
      </c>
    </row>
    <row r="60" spans="1:5" x14ac:dyDescent="0.25">
      <c r="A60">
        <v>760197</v>
      </c>
      <c r="B60" s="16">
        <v>47529</v>
      </c>
      <c r="C60" s="37" t="s">
        <v>217</v>
      </c>
      <c r="D60" s="37" t="s">
        <v>51</v>
      </c>
      <c r="E60" s="37" t="s">
        <v>73</v>
      </c>
    </row>
    <row r="61" spans="1:5" x14ac:dyDescent="0.25">
      <c r="A61">
        <v>760197</v>
      </c>
      <c r="B61" s="16">
        <v>47618</v>
      </c>
      <c r="C61" s="37" t="s">
        <v>218</v>
      </c>
      <c r="D61" s="37" t="s">
        <v>51</v>
      </c>
      <c r="E61" s="37" t="s">
        <v>200</v>
      </c>
    </row>
    <row r="62" spans="1:5" x14ac:dyDescent="0.25">
      <c r="A62">
        <v>760197</v>
      </c>
      <c r="B62" s="16">
        <v>47710</v>
      </c>
      <c r="C62" s="37" t="s">
        <v>219</v>
      </c>
      <c r="D62" s="37" t="s">
        <v>51</v>
      </c>
      <c r="E62" s="37" t="s">
        <v>73</v>
      </c>
    </row>
    <row r="63" spans="1:5" x14ac:dyDescent="0.25">
      <c r="A63">
        <v>760197</v>
      </c>
      <c r="B63" s="16">
        <v>47802</v>
      </c>
      <c r="C63" s="37" t="s">
        <v>220</v>
      </c>
      <c r="D63" s="37" t="s">
        <v>51</v>
      </c>
      <c r="E63" s="37" t="s">
        <v>200</v>
      </c>
    </row>
    <row r="64" spans="1:5" x14ac:dyDescent="0.25">
      <c r="A64">
        <v>760197</v>
      </c>
      <c r="B64" s="16">
        <v>47894</v>
      </c>
      <c r="C64" s="37" t="s">
        <v>221</v>
      </c>
      <c r="D64" s="37" t="s">
        <v>51</v>
      </c>
      <c r="E64" s="37" t="s">
        <v>74</v>
      </c>
    </row>
    <row r="65" spans="1:5" x14ac:dyDescent="0.25">
      <c r="A65">
        <v>760197</v>
      </c>
      <c r="B65" s="16">
        <v>47983</v>
      </c>
      <c r="C65" s="37" t="s">
        <v>222</v>
      </c>
      <c r="D65" s="37" t="s">
        <v>51</v>
      </c>
      <c r="E65" s="37" t="s">
        <v>200</v>
      </c>
    </row>
    <row r="66" spans="1:5" x14ac:dyDescent="0.25">
      <c r="A66">
        <v>760197</v>
      </c>
      <c r="B66" s="16">
        <v>48075</v>
      </c>
      <c r="C66" s="37" t="s">
        <v>223</v>
      </c>
      <c r="D66" s="37" t="s">
        <v>51</v>
      </c>
      <c r="E66" s="37" t="s">
        <v>74</v>
      </c>
    </row>
    <row r="67" spans="1:5" x14ac:dyDescent="0.25">
      <c r="A67">
        <v>760197</v>
      </c>
      <c r="B67" s="16">
        <v>48167</v>
      </c>
      <c r="C67" s="37" t="s">
        <v>224</v>
      </c>
      <c r="D67" s="37" t="s">
        <v>51</v>
      </c>
      <c r="E67" s="37" t="s">
        <v>200</v>
      </c>
    </row>
    <row r="68" spans="1:5" x14ac:dyDescent="0.25">
      <c r="A68">
        <v>760197</v>
      </c>
      <c r="B68" s="16">
        <v>48259</v>
      </c>
      <c r="C68" s="37" t="s">
        <v>225</v>
      </c>
      <c r="D68" s="37" t="s">
        <v>51</v>
      </c>
      <c r="E68" s="37" t="s">
        <v>74</v>
      </c>
    </row>
    <row r="69" spans="1:5" x14ac:dyDescent="0.25">
      <c r="A69">
        <v>760197</v>
      </c>
      <c r="B69" s="16">
        <v>48349</v>
      </c>
      <c r="C69" s="37" t="s">
        <v>226</v>
      </c>
      <c r="D69" s="37" t="s">
        <v>51</v>
      </c>
      <c r="E69" s="37" t="s">
        <v>200</v>
      </c>
    </row>
    <row r="70" spans="1:5" x14ac:dyDescent="0.25">
      <c r="A70">
        <v>760197</v>
      </c>
      <c r="B70" s="16">
        <v>48441</v>
      </c>
      <c r="C70" s="37" t="s">
        <v>227</v>
      </c>
      <c r="D70" s="37" t="s">
        <v>51</v>
      </c>
      <c r="E70" s="37" t="s">
        <v>74</v>
      </c>
    </row>
    <row r="71" spans="1:5" x14ac:dyDescent="0.25">
      <c r="A71">
        <v>760197</v>
      </c>
      <c r="B71" s="16">
        <v>48533</v>
      </c>
      <c r="C71" s="37" t="s">
        <v>228</v>
      </c>
      <c r="D71" s="37" t="s">
        <v>51</v>
      </c>
      <c r="E71" s="37" t="s">
        <v>200</v>
      </c>
    </row>
    <row r="72" spans="1:5" x14ac:dyDescent="0.25">
      <c r="A72">
        <v>760197</v>
      </c>
      <c r="B72" s="16">
        <v>48625</v>
      </c>
      <c r="C72" s="37" t="s">
        <v>229</v>
      </c>
      <c r="D72" s="37" t="s">
        <v>51</v>
      </c>
      <c r="E72" s="37" t="s">
        <v>74</v>
      </c>
    </row>
    <row r="73" spans="1:5" x14ac:dyDescent="0.25">
      <c r="A73">
        <v>760197</v>
      </c>
      <c r="B73" s="16">
        <v>48714</v>
      </c>
      <c r="C73" s="37" t="s">
        <v>230</v>
      </c>
      <c r="D73" s="37" t="s">
        <v>51</v>
      </c>
      <c r="E73" s="37" t="s">
        <v>200</v>
      </c>
    </row>
    <row r="74" spans="1:5" x14ac:dyDescent="0.25">
      <c r="A74">
        <v>760197</v>
      </c>
      <c r="B74" s="16">
        <v>48806</v>
      </c>
      <c r="C74" s="37" t="s">
        <v>231</v>
      </c>
      <c r="D74" s="37" t="s">
        <v>51</v>
      </c>
      <c r="E74" s="37" t="s">
        <v>74</v>
      </c>
    </row>
    <row r="75" spans="1:5" x14ac:dyDescent="0.25">
      <c r="A75">
        <v>760197</v>
      </c>
      <c r="B75" s="16">
        <v>48898</v>
      </c>
      <c r="C75" s="37" t="s">
        <v>232</v>
      </c>
      <c r="D75" s="37" t="s">
        <v>51</v>
      </c>
      <c r="E75" s="37" t="s">
        <v>200</v>
      </c>
    </row>
    <row r="76" spans="1:5" x14ac:dyDescent="0.25">
      <c r="A76">
        <v>760197</v>
      </c>
      <c r="B76" s="16">
        <v>48990</v>
      </c>
      <c r="C76" s="37" t="s">
        <v>233</v>
      </c>
      <c r="D76" s="37" t="s">
        <v>51</v>
      </c>
      <c r="E76" s="37" t="s">
        <v>74</v>
      </c>
    </row>
    <row r="77" spans="1:5" x14ac:dyDescent="0.25">
      <c r="A77">
        <v>760197</v>
      </c>
      <c r="B77" s="16">
        <v>49079</v>
      </c>
      <c r="C77" s="37" t="s">
        <v>234</v>
      </c>
      <c r="D77" s="37" t="s">
        <v>51</v>
      </c>
      <c r="E77" s="37" t="s">
        <v>200</v>
      </c>
    </row>
    <row r="78" spans="1:5" x14ac:dyDescent="0.25">
      <c r="A78">
        <v>760197</v>
      </c>
      <c r="B78" s="16">
        <v>49171</v>
      </c>
      <c r="C78" s="37" t="s">
        <v>235</v>
      </c>
      <c r="D78" s="37" t="s">
        <v>51</v>
      </c>
      <c r="E78" s="37" t="s">
        <v>74</v>
      </c>
    </row>
    <row r="79" spans="1:5" x14ac:dyDescent="0.25">
      <c r="A79">
        <v>760197</v>
      </c>
      <c r="B79" s="16">
        <v>49263</v>
      </c>
      <c r="C79" s="37" t="s">
        <v>236</v>
      </c>
      <c r="D79" s="37" t="s">
        <v>51</v>
      </c>
      <c r="E79" s="37" t="s">
        <v>200</v>
      </c>
    </row>
    <row r="80" spans="1:5" x14ac:dyDescent="0.25">
      <c r="A80">
        <v>760197</v>
      </c>
      <c r="B80" s="16">
        <v>49355</v>
      </c>
      <c r="C80" s="37" t="s">
        <v>237</v>
      </c>
      <c r="D80" s="37" t="s">
        <v>51</v>
      </c>
      <c r="E80" s="37" t="s">
        <v>74</v>
      </c>
    </row>
    <row r="81" spans="1:5" x14ac:dyDescent="0.25">
      <c r="A81">
        <v>760197</v>
      </c>
      <c r="B81" s="16">
        <v>49444</v>
      </c>
      <c r="C81" s="37" t="s">
        <v>238</v>
      </c>
      <c r="D81" s="37" t="s">
        <v>51</v>
      </c>
      <c r="E81" s="37" t="s">
        <v>200</v>
      </c>
    </row>
    <row r="82" spans="1:5" x14ac:dyDescent="0.25">
      <c r="A82">
        <v>760197</v>
      </c>
      <c r="B82" s="16">
        <v>49536</v>
      </c>
      <c r="C82" s="37" t="s">
        <v>239</v>
      </c>
      <c r="D82" s="37" t="s">
        <v>51</v>
      </c>
      <c r="E82" s="37" t="s">
        <v>74</v>
      </c>
    </row>
    <row r="83" spans="1:5" x14ac:dyDescent="0.25">
      <c r="A83">
        <v>760197</v>
      </c>
      <c r="B83" s="16">
        <v>49628</v>
      </c>
      <c r="C83" s="37" t="s">
        <v>240</v>
      </c>
      <c r="D83" s="37" t="s">
        <v>51</v>
      </c>
      <c r="E83" s="37" t="s">
        <v>241</v>
      </c>
    </row>
    <row r="84" spans="1:5" x14ac:dyDescent="0.25">
      <c r="A84">
        <v>760197</v>
      </c>
      <c r="B84" s="16">
        <v>49720</v>
      </c>
      <c r="C84" s="37" t="s">
        <v>242</v>
      </c>
      <c r="D84" s="37" t="s">
        <v>51</v>
      </c>
      <c r="E84" s="37" t="s">
        <v>74</v>
      </c>
    </row>
    <row r="85" spans="1:5" x14ac:dyDescent="0.25">
      <c r="A85">
        <v>760197</v>
      </c>
      <c r="B85" s="16">
        <v>49810</v>
      </c>
      <c r="C85" s="37" t="s">
        <v>243</v>
      </c>
      <c r="D85" s="37" t="s">
        <v>51</v>
      </c>
      <c r="E85" s="37" t="s">
        <v>241</v>
      </c>
    </row>
    <row r="86" spans="1:5" x14ac:dyDescent="0.25">
      <c r="A86">
        <v>760197</v>
      </c>
      <c r="B86" s="16">
        <v>49902</v>
      </c>
      <c r="C86" s="37" t="s">
        <v>244</v>
      </c>
      <c r="D86" s="37" t="s">
        <v>51</v>
      </c>
      <c r="E86" s="37" t="s">
        <v>74</v>
      </c>
    </row>
    <row r="87" spans="1:5" x14ac:dyDescent="0.25">
      <c r="A87">
        <v>760197</v>
      </c>
      <c r="B87" s="16">
        <v>49994</v>
      </c>
      <c r="C87" s="37" t="s">
        <v>245</v>
      </c>
      <c r="D87" s="37" t="s">
        <v>51</v>
      </c>
      <c r="E87" s="37" t="s">
        <v>241</v>
      </c>
    </row>
    <row r="88" spans="1:5" x14ac:dyDescent="0.25">
      <c r="A88">
        <v>760197</v>
      </c>
      <c r="B88" s="16">
        <v>50086</v>
      </c>
      <c r="C88" s="37" t="s">
        <v>246</v>
      </c>
      <c r="D88" s="37" t="s">
        <v>51</v>
      </c>
      <c r="E88" s="37" t="s">
        <v>74</v>
      </c>
    </row>
    <row r="89" spans="1:5" x14ac:dyDescent="0.25">
      <c r="A89">
        <v>760197</v>
      </c>
      <c r="B89" s="16">
        <v>50175</v>
      </c>
      <c r="C89" s="37" t="s">
        <v>247</v>
      </c>
      <c r="D89" s="37" t="s">
        <v>51</v>
      </c>
      <c r="E89" s="37" t="s">
        <v>241</v>
      </c>
    </row>
    <row r="90" spans="1:5" x14ac:dyDescent="0.25">
      <c r="A90">
        <v>760197</v>
      </c>
      <c r="B90" s="16">
        <v>50267</v>
      </c>
      <c r="C90" s="37" t="s">
        <v>248</v>
      </c>
      <c r="D90" s="37" t="s">
        <v>51</v>
      </c>
      <c r="E90" s="37" t="s">
        <v>74</v>
      </c>
    </row>
    <row r="91" spans="1:5" x14ac:dyDescent="0.25">
      <c r="A91">
        <v>760197</v>
      </c>
      <c r="B91" s="16">
        <v>50359</v>
      </c>
      <c r="C91" s="37" t="s">
        <v>249</v>
      </c>
      <c r="D91" s="37" t="s">
        <v>51</v>
      </c>
      <c r="E91" s="37" t="s">
        <v>241</v>
      </c>
    </row>
    <row r="92" spans="1:5" x14ac:dyDescent="0.25">
      <c r="A92">
        <v>760197</v>
      </c>
      <c r="B92" s="16">
        <v>50451</v>
      </c>
      <c r="C92" s="37" t="s">
        <v>250</v>
      </c>
      <c r="D92" s="37" t="s">
        <v>51</v>
      </c>
      <c r="E92" s="37" t="s">
        <v>74</v>
      </c>
    </row>
    <row r="93" spans="1:5" x14ac:dyDescent="0.25">
      <c r="A93">
        <v>760197</v>
      </c>
      <c r="B93" s="16">
        <v>50540</v>
      </c>
      <c r="C93" s="37" t="s">
        <v>251</v>
      </c>
      <c r="D93" s="37" t="s">
        <v>51</v>
      </c>
      <c r="E93" s="37" t="s">
        <v>241</v>
      </c>
    </row>
    <row r="94" spans="1:5" x14ac:dyDescent="0.25">
      <c r="A94">
        <v>760197</v>
      </c>
      <c r="B94" s="16">
        <v>50632</v>
      </c>
      <c r="C94" s="37" t="s">
        <v>252</v>
      </c>
      <c r="D94" s="37" t="s">
        <v>51</v>
      </c>
      <c r="E94" s="37" t="s">
        <v>74</v>
      </c>
    </row>
    <row r="95" spans="1:5" x14ac:dyDescent="0.25">
      <c r="A95">
        <v>760197</v>
      </c>
      <c r="B95" s="16">
        <v>50724</v>
      </c>
      <c r="C95" s="37" t="s">
        <v>253</v>
      </c>
      <c r="D95" s="37" t="s">
        <v>51</v>
      </c>
      <c r="E95" s="37" t="s">
        <v>241</v>
      </c>
    </row>
    <row r="96" spans="1:5" x14ac:dyDescent="0.25">
      <c r="A96">
        <v>760197</v>
      </c>
      <c r="B96" s="16">
        <v>50816</v>
      </c>
      <c r="C96" s="37" t="s">
        <v>254</v>
      </c>
      <c r="D96" s="37" t="s">
        <v>51</v>
      </c>
      <c r="E96" s="37" t="s">
        <v>74</v>
      </c>
    </row>
    <row r="97" spans="1:5" x14ac:dyDescent="0.25">
      <c r="A97">
        <v>760197</v>
      </c>
      <c r="B97" s="16">
        <v>50905</v>
      </c>
      <c r="C97" s="37" t="s">
        <v>255</v>
      </c>
      <c r="D97" s="37" t="s">
        <v>51</v>
      </c>
      <c r="E97" s="37" t="s">
        <v>241</v>
      </c>
    </row>
    <row r="98" spans="1:5" x14ac:dyDescent="0.25">
      <c r="A98">
        <v>760197</v>
      </c>
      <c r="B98" s="16">
        <v>50997</v>
      </c>
      <c r="C98" s="37" t="s">
        <v>256</v>
      </c>
      <c r="D98" s="37" t="s">
        <v>51</v>
      </c>
      <c r="E98" s="37" t="s">
        <v>74</v>
      </c>
    </row>
    <row r="99" spans="1:5" x14ac:dyDescent="0.25">
      <c r="A99">
        <v>760197</v>
      </c>
      <c r="B99" s="16">
        <v>51089</v>
      </c>
      <c r="C99" s="37" t="s">
        <v>257</v>
      </c>
      <c r="D99" s="37" t="s">
        <v>51</v>
      </c>
      <c r="E99" s="37" t="s">
        <v>241</v>
      </c>
    </row>
    <row r="100" spans="1:5" x14ac:dyDescent="0.25">
      <c r="A100">
        <v>760197</v>
      </c>
      <c r="B100" s="16">
        <v>51181</v>
      </c>
      <c r="C100" s="37" t="s">
        <v>258</v>
      </c>
      <c r="D100" s="37" t="s">
        <v>51</v>
      </c>
      <c r="E100" s="37" t="s">
        <v>74</v>
      </c>
    </row>
    <row r="101" spans="1:5" x14ac:dyDescent="0.25">
      <c r="A101">
        <v>760197</v>
      </c>
      <c r="B101" s="16">
        <v>51271</v>
      </c>
      <c r="C101" s="37" t="s">
        <v>259</v>
      </c>
      <c r="D101" s="37" t="s">
        <v>51</v>
      </c>
      <c r="E101" s="37" t="s">
        <v>241</v>
      </c>
    </row>
    <row r="102" spans="1:5" x14ac:dyDescent="0.25">
      <c r="A102">
        <v>760197</v>
      </c>
      <c r="B102" s="16">
        <v>51363</v>
      </c>
      <c r="C102" s="37" t="s">
        <v>260</v>
      </c>
      <c r="D102" s="37" t="s">
        <v>51</v>
      </c>
      <c r="E102" s="37" t="s">
        <v>74</v>
      </c>
    </row>
    <row r="103" spans="1:5" x14ac:dyDescent="0.25">
      <c r="A103">
        <v>760197</v>
      </c>
      <c r="B103" s="16">
        <v>51455</v>
      </c>
      <c r="C103" s="37" t="s">
        <v>261</v>
      </c>
      <c r="D103" s="37" t="s">
        <v>51</v>
      </c>
      <c r="E103" s="37" t="s">
        <v>241</v>
      </c>
    </row>
    <row r="104" spans="1:5" x14ac:dyDescent="0.25">
      <c r="A104">
        <v>760197</v>
      </c>
      <c r="B104" s="16">
        <v>51547</v>
      </c>
      <c r="C104" s="37" t="s">
        <v>262</v>
      </c>
      <c r="D104" s="37" t="s">
        <v>51</v>
      </c>
      <c r="E104" s="37" t="s">
        <v>75</v>
      </c>
    </row>
    <row r="105" spans="1:5" x14ac:dyDescent="0.25">
      <c r="A105">
        <v>760197</v>
      </c>
      <c r="B105" s="16">
        <v>51636</v>
      </c>
      <c r="C105" s="37" t="s">
        <v>263</v>
      </c>
      <c r="D105" s="37" t="s">
        <v>51</v>
      </c>
      <c r="E105" s="37" t="s">
        <v>241</v>
      </c>
    </row>
    <row r="106" spans="1:5" x14ac:dyDescent="0.25">
      <c r="A106">
        <v>760197</v>
      </c>
      <c r="B106" s="16">
        <v>51728</v>
      </c>
      <c r="C106" s="37" t="s">
        <v>264</v>
      </c>
      <c r="D106" s="37" t="s">
        <v>51</v>
      </c>
      <c r="E106" s="37" t="s">
        <v>75</v>
      </c>
    </row>
    <row r="107" spans="1:5" x14ac:dyDescent="0.25">
      <c r="A107">
        <v>760197</v>
      </c>
      <c r="B107" s="16">
        <v>51820</v>
      </c>
      <c r="C107" s="37" t="s">
        <v>265</v>
      </c>
      <c r="D107" s="37" t="s">
        <v>51</v>
      </c>
      <c r="E107" s="37" t="s">
        <v>241</v>
      </c>
    </row>
    <row r="108" spans="1:5" x14ac:dyDescent="0.25">
      <c r="A108">
        <v>760197</v>
      </c>
      <c r="B108" s="16">
        <v>51912</v>
      </c>
      <c r="C108" s="37" t="s">
        <v>266</v>
      </c>
      <c r="D108" s="37" t="s">
        <v>51</v>
      </c>
      <c r="E108" s="37" t="s">
        <v>75</v>
      </c>
    </row>
    <row r="109" spans="1:5" x14ac:dyDescent="0.25">
      <c r="A109">
        <v>760197</v>
      </c>
      <c r="B109" s="16">
        <v>52001</v>
      </c>
      <c r="C109" s="37" t="s">
        <v>267</v>
      </c>
      <c r="D109" s="37" t="s">
        <v>51</v>
      </c>
      <c r="E109" s="37" t="s">
        <v>241</v>
      </c>
    </row>
    <row r="110" spans="1:5" x14ac:dyDescent="0.25">
      <c r="A110">
        <v>760197</v>
      </c>
      <c r="B110" s="16">
        <v>52093</v>
      </c>
      <c r="C110" s="37" t="s">
        <v>268</v>
      </c>
      <c r="D110" s="37" t="s">
        <v>51</v>
      </c>
      <c r="E110" s="37" t="s">
        <v>75</v>
      </c>
    </row>
    <row r="111" spans="1:5" x14ac:dyDescent="0.25">
      <c r="A111">
        <v>760197</v>
      </c>
      <c r="B111" s="16">
        <v>52185</v>
      </c>
      <c r="C111" s="37" t="s">
        <v>269</v>
      </c>
      <c r="D111" s="37" t="s">
        <v>51</v>
      </c>
      <c r="E111" s="37" t="s">
        <v>241</v>
      </c>
    </row>
    <row r="112" spans="1:5" x14ac:dyDescent="0.25">
      <c r="A112">
        <v>760197</v>
      </c>
      <c r="B112" s="16">
        <v>52277</v>
      </c>
      <c r="C112" s="37" t="s">
        <v>270</v>
      </c>
      <c r="D112" s="37" t="s">
        <v>51</v>
      </c>
      <c r="E112" s="37" t="s">
        <v>75</v>
      </c>
    </row>
    <row r="113" spans="1:5" x14ac:dyDescent="0.25">
      <c r="A113">
        <v>760197</v>
      </c>
      <c r="B113" s="16">
        <v>52366</v>
      </c>
      <c r="C113" s="37" t="s">
        <v>271</v>
      </c>
      <c r="D113" s="37" t="s">
        <v>51</v>
      </c>
      <c r="E113" s="37" t="s">
        <v>241</v>
      </c>
    </row>
    <row r="114" spans="1:5" x14ac:dyDescent="0.25">
      <c r="A114">
        <v>760197</v>
      </c>
      <c r="B114" s="16">
        <v>52458</v>
      </c>
      <c r="C114" s="37" t="s">
        <v>272</v>
      </c>
      <c r="D114" s="37" t="s">
        <v>51</v>
      </c>
      <c r="E114" s="37" t="s">
        <v>75</v>
      </c>
    </row>
    <row r="115" spans="1:5" x14ac:dyDescent="0.25">
      <c r="A115">
        <v>760197</v>
      </c>
      <c r="B115" s="16">
        <v>52550</v>
      </c>
      <c r="C115" s="37" t="s">
        <v>273</v>
      </c>
      <c r="D115" s="37" t="s">
        <v>51</v>
      </c>
      <c r="E115" s="37" t="s">
        <v>241</v>
      </c>
    </row>
    <row r="116" spans="1:5" x14ac:dyDescent="0.25">
      <c r="A116">
        <v>760197</v>
      </c>
      <c r="B116" s="16">
        <v>52642</v>
      </c>
      <c r="C116" s="37" t="s">
        <v>274</v>
      </c>
      <c r="D116" s="37" t="s">
        <v>51</v>
      </c>
      <c r="E116" s="37" t="s">
        <v>75</v>
      </c>
    </row>
    <row r="117" spans="1:5" x14ac:dyDescent="0.25">
      <c r="A117">
        <v>760197</v>
      </c>
      <c r="B117" s="16">
        <v>52732</v>
      </c>
      <c r="C117" s="37" t="s">
        <v>275</v>
      </c>
      <c r="D117" s="37" t="s">
        <v>51</v>
      </c>
      <c r="E117" s="37" t="s">
        <v>241</v>
      </c>
    </row>
    <row r="118" spans="1:5" x14ac:dyDescent="0.25">
      <c r="A118">
        <v>760197</v>
      </c>
      <c r="B118" s="16">
        <v>52824</v>
      </c>
      <c r="C118" s="37" t="s">
        <v>276</v>
      </c>
      <c r="D118" s="37" t="s">
        <v>51</v>
      </c>
      <c r="E118" s="37" t="s">
        <v>75</v>
      </c>
    </row>
    <row r="119" spans="1:5" x14ac:dyDescent="0.25">
      <c r="A119">
        <v>760197</v>
      </c>
      <c r="B119" s="16">
        <v>52916</v>
      </c>
      <c r="C119" s="37" t="s">
        <v>277</v>
      </c>
      <c r="D119" s="37" t="s">
        <v>51</v>
      </c>
      <c r="E119" s="37" t="s">
        <v>241</v>
      </c>
    </row>
    <row r="120" spans="1:5" x14ac:dyDescent="0.25">
      <c r="A120">
        <v>760197</v>
      </c>
      <c r="B120" s="16">
        <v>53008</v>
      </c>
      <c r="C120" s="37" t="s">
        <v>278</v>
      </c>
      <c r="D120" s="37" t="s">
        <v>51</v>
      </c>
      <c r="E120" s="37" t="s">
        <v>75</v>
      </c>
    </row>
    <row r="121" spans="1:5" x14ac:dyDescent="0.25">
      <c r="A121">
        <v>760197</v>
      </c>
      <c r="B121" s="16">
        <v>53097</v>
      </c>
      <c r="C121" s="37" t="s">
        <v>279</v>
      </c>
      <c r="D121" s="37" t="s">
        <v>51</v>
      </c>
      <c r="E121" s="37" t="s">
        <v>241</v>
      </c>
    </row>
    <row r="122" spans="1:5" x14ac:dyDescent="0.25">
      <c r="A122">
        <v>760197</v>
      </c>
      <c r="B122" s="16">
        <v>53189</v>
      </c>
      <c r="C122" s="37" t="s">
        <v>280</v>
      </c>
      <c r="D122" s="37" t="s">
        <v>51</v>
      </c>
      <c r="E122" s="37" t="s">
        <v>75</v>
      </c>
    </row>
    <row r="123" spans="1:5" x14ac:dyDescent="0.25">
      <c r="A123">
        <v>760197</v>
      </c>
      <c r="B123" s="16">
        <v>53373</v>
      </c>
      <c r="C123" s="37" t="s">
        <v>281</v>
      </c>
      <c r="D123" s="37" t="s">
        <v>51</v>
      </c>
      <c r="E123" s="37" t="s">
        <v>75</v>
      </c>
    </row>
    <row r="124" spans="1:5" x14ac:dyDescent="0.25">
      <c r="A124">
        <v>760197</v>
      </c>
      <c r="B124" s="16">
        <v>53554</v>
      </c>
      <c r="C124" s="37" t="s">
        <v>282</v>
      </c>
      <c r="D124" s="37" t="s">
        <v>51</v>
      </c>
      <c r="E124" s="37" t="s">
        <v>75</v>
      </c>
    </row>
    <row r="125" spans="1:5" x14ac:dyDescent="0.25">
      <c r="A125">
        <v>760197</v>
      </c>
      <c r="B125" s="16">
        <v>53738</v>
      </c>
      <c r="C125" s="37" t="s">
        <v>283</v>
      </c>
      <c r="D125" s="37" t="s">
        <v>51</v>
      </c>
      <c r="E125" s="37" t="s">
        <v>75</v>
      </c>
    </row>
    <row r="126" spans="1:5" x14ac:dyDescent="0.25">
      <c r="A126">
        <v>760197</v>
      </c>
      <c r="B126" s="16">
        <v>53919</v>
      </c>
      <c r="C126" s="37" t="s">
        <v>284</v>
      </c>
      <c r="D126" s="37" t="s">
        <v>51</v>
      </c>
      <c r="E126" s="37" t="s">
        <v>75</v>
      </c>
    </row>
    <row r="127" spans="1:5" x14ac:dyDescent="0.25">
      <c r="A127">
        <v>760197</v>
      </c>
      <c r="B127" s="16">
        <v>54103</v>
      </c>
      <c r="C127" s="37" t="s">
        <v>285</v>
      </c>
      <c r="D127" s="37" t="s">
        <v>51</v>
      </c>
      <c r="E127" s="37" t="s">
        <v>75</v>
      </c>
    </row>
    <row r="128" spans="1:5" x14ac:dyDescent="0.25">
      <c r="A128">
        <v>760197</v>
      </c>
      <c r="B128" s="16">
        <v>54285</v>
      </c>
      <c r="C128" s="37" t="s">
        <v>286</v>
      </c>
      <c r="D128" s="37" t="s">
        <v>51</v>
      </c>
      <c r="E128" s="37" t="s">
        <v>75</v>
      </c>
    </row>
    <row r="129" spans="1:5" x14ac:dyDescent="0.25">
      <c r="A129">
        <v>760197</v>
      </c>
      <c r="B129" s="16">
        <v>54469</v>
      </c>
      <c r="C129" s="37" t="s">
        <v>287</v>
      </c>
      <c r="D129" s="37" t="s">
        <v>51</v>
      </c>
      <c r="E129" s="37" t="s">
        <v>75</v>
      </c>
    </row>
    <row r="130" spans="1:5" x14ac:dyDescent="0.25">
      <c r="A130">
        <v>760197</v>
      </c>
      <c r="B130" s="16">
        <v>54650</v>
      </c>
      <c r="C130" s="37" t="s">
        <v>288</v>
      </c>
      <c r="D130" s="37" t="s">
        <v>51</v>
      </c>
      <c r="E130" s="37" t="s">
        <v>75</v>
      </c>
    </row>
    <row r="131" spans="1:5" x14ac:dyDescent="0.25">
      <c r="A131">
        <v>760197</v>
      </c>
      <c r="B131" s="16">
        <v>54834</v>
      </c>
      <c r="C131" s="37" t="s">
        <v>289</v>
      </c>
      <c r="D131" s="37" t="s">
        <v>51</v>
      </c>
      <c r="E131" s="37" t="s">
        <v>75</v>
      </c>
    </row>
    <row r="132" spans="1:5" x14ac:dyDescent="0.25">
      <c r="A132">
        <v>760197</v>
      </c>
      <c r="B132" s="16">
        <v>55015</v>
      </c>
      <c r="C132" s="37" t="s">
        <v>290</v>
      </c>
      <c r="D132" s="37" t="s">
        <v>51</v>
      </c>
      <c r="E132" s="37" t="s">
        <v>75</v>
      </c>
    </row>
    <row r="133" spans="1:5" x14ac:dyDescent="0.25">
      <c r="A133">
        <v>760198</v>
      </c>
      <c r="B133" s="16">
        <v>44788</v>
      </c>
      <c r="C133" s="37" t="s">
        <v>291</v>
      </c>
      <c r="D133" s="37" t="s">
        <v>51</v>
      </c>
      <c r="E133" s="37" t="s">
        <v>76</v>
      </c>
    </row>
    <row r="134" spans="1:5" x14ac:dyDescent="0.25">
      <c r="A134">
        <v>760198</v>
      </c>
      <c r="B134" s="16">
        <v>45061</v>
      </c>
      <c r="C134" s="37" t="s">
        <v>292</v>
      </c>
      <c r="D134" s="37" t="s">
        <v>51</v>
      </c>
      <c r="E134" s="37" t="s">
        <v>77</v>
      </c>
    </row>
    <row r="135" spans="1:5" x14ac:dyDescent="0.25">
      <c r="A135">
        <v>760198</v>
      </c>
      <c r="B135" s="16">
        <v>45519</v>
      </c>
      <c r="C135" s="37" t="s">
        <v>293</v>
      </c>
      <c r="D135" s="37" t="s">
        <v>51</v>
      </c>
      <c r="E135" s="37" t="s">
        <v>294</v>
      </c>
    </row>
    <row r="136" spans="1:5" x14ac:dyDescent="0.25">
      <c r="A136">
        <v>760198</v>
      </c>
      <c r="B136" s="16">
        <v>45792</v>
      </c>
      <c r="C136" s="37" t="s">
        <v>295</v>
      </c>
      <c r="D136" s="37" t="s">
        <v>51</v>
      </c>
      <c r="E136" s="37" t="s">
        <v>78</v>
      </c>
    </row>
    <row r="137" spans="1:5" x14ac:dyDescent="0.25">
      <c r="A137">
        <v>760198</v>
      </c>
      <c r="B137" s="16">
        <v>46249</v>
      </c>
      <c r="C137" s="37" t="s">
        <v>296</v>
      </c>
      <c r="D137" s="37" t="s">
        <v>51</v>
      </c>
      <c r="E137" s="37" t="s">
        <v>297</v>
      </c>
    </row>
    <row r="138" spans="1:5" x14ac:dyDescent="0.25">
      <c r="A138">
        <v>760198</v>
      </c>
      <c r="B138" s="16">
        <v>46980</v>
      </c>
      <c r="C138" s="37" t="s">
        <v>298</v>
      </c>
      <c r="D138" s="37" t="s">
        <v>51</v>
      </c>
      <c r="E138" s="37" t="s">
        <v>79</v>
      </c>
    </row>
    <row r="139" spans="1:5" x14ac:dyDescent="0.25">
      <c r="A139">
        <v>760198</v>
      </c>
      <c r="B139" s="16">
        <v>47710</v>
      </c>
      <c r="C139" s="37" t="s">
        <v>299</v>
      </c>
      <c r="D139" s="37" t="s">
        <v>51</v>
      </c>
      <c r="E139" s="37" t="s">
        <v>80</v>
      </c>
    </row>
    <row r="140" spans="1:5" x14ac:dyDescent="0.25">
      <c r="A140">
        <v>760198</v>
      </c>
      <c r="B140" s="16">
        <v>49444</v>
      </c>
      <c r="C140" s="37" t="s">
        <v>300</v>
      </c>
      <c r="D140" s="37" t="s">
        <v>51</v>
      </c>
      <c r="E140" s="37" t="s">
        <v>301</v>
      </c>
    </row>
    <row r="141" spans="1:5" x14ac:dyDescent="0.25">
      <c r="A141">
        <v>760198</v>
      </c>
      <c r="B141" s="16">
        <v>51363</v>
      </c>
      <c r="C141" s="37" t="s">
        <v>302</v>
      </c>
      <c r="D141" s="37" t="s">
        <v>51</v>
      </c>
      <c r="E141" s="37" t="s">
        <v>81</v>
      </c>
    </row>
    <row r="142" spans="1:5" x14ac:dyDescent="0.25">
      <c r="A142">
        <v>760198</v>
      </c>
      <c r="B142" s="16">
        <v>53097</v>
      </c>
      <c r="C142" s="37" t="s">
        <v>303</v>
      </c>
      <c r="D142" s="37" t="s">
        <v>51</v>
      </c>
      <c r="E142" s="37" t="s">
        <v>304</v>
      </c>
    </row>
    <row r="143" spans="1:5" x14ac:dyDescent="0.25">
      <c r="A143">
        <v>760198</v>
      </c>
      <c r="B143" s="16">
        <v>55015</v>
      </c>
      <c r="C143" s="37" t="s">
        <v>305</v>
      </c>
      <c r="D143" s="37" t="s">
        <v>51</v>
      </c>
      <c r="E143" s="37" t="s">
        <v>75</v>
      </c>
    </row>
    <row r="144" spans="1:5" x14ac:dyDescent="0.25">
      <c r="A144">
        <v>760199</v>
      </c>
      <c r="B144" s="16">
        <v>44788</v>
      </c>
      <c r="C144" s="37" t="s">
        <v>306</v>
      </c>
      <c r="D144" s="37" t="s">
        <v>51</v>
      </c>
      <c r="E144" s="37" t="s">
        <v>82</v>
      </c>
    </row>
    <row r="145" spans="1:5" x14ac:dyDescent="0.25">
      <c r="A145">
        <v>760199</v>
      </c>
      <c r="B145" s="16">
        <v>45061</v>
      </c>
      <c r="C145" s="37" t="s">
        <v>307</v>
      </c>
      <c r="D145" s="37" t="s">
        <v>51</v>
      </c>
      <c r="E145" s="37" t="s">
        <v>308</v>
      </c>
    </row>
    <row r="146" spans="1:5" x14ac:dyDescent="0.25">
      <c r="A146">
        <v>760199</v>
      </c>
      <c r="B146" s="16">
        <v>45519</v>
      </c>
      <c r="C146" s="37" t="s">
        <v>309</v>
      </c>
      <c r="D146" s="37" t="s">
        <v>51</v>
      </c>
      <c r="E146" s="37" t="s">
        <v>310</v>
      </c>
    </row>
    <row r="147" spans="1:5" x14ac:dyDescent="0.25">
      <c r="A147">
        <v>760199</v>
      </c>
      <c r="B147" s="16">
        <v>45792</v>
      </c>
      <c r="C147" s="37" t="s">
        <v>311</v>
      </c>
      <c r="D147" s="37" t="s">
        <v>51</v>
      </c>
      <c r="E147" s="37" t="s">
        <v>312</v>
      </c>
    </row>
    <row r="148" spans="1:5" x14ac:dyDescent="0.25">
      <c r="A148">
        <v>760199</v>
      </c>
      <c r="B148" s="16">
        <v>46249</v>
      </c>
      <c r="C148" s="37" t="s">
        <v>313</v>
      </c>
      <c r="D148" s="37" t="s">
        <v>51</v>
      </c>
      <c r="E148" s="37" t="s">
        <v>314</v>
      </c>
    </row>
    <row r="149" spans="1:5" x14ac:dyDescent="0.25">
      <c r="A149">
        <v>760199</v>
      </c>
      <c r="B149" s="16">
        <v>46522</v>
      </c>
      <c r="C149" s="37" t="s">
        <v>315</v>
      </c>
      <c r="D149" s="37" t="s">
        <v>51</v>
      </c>
      <c r="E149" s="37" t="s">
        <v>316</v>
      </c>
    </row>
    <row r="150" spans="1:5" x14ac:dyDescent="0.25">
      <c r="A150">
        <v>760199</v>
      </c>
      <c r="B150" s="16">
        <v>46980</v>
      </c>
      <c r="C150" s="37" t="s">
        <v>317</v>
      </c>
      <c r="D150" s="37" t="s">
        <v>51</v>
      </c>
      <c r="E150" s="37" t="s">
        <v>318</v>
      </c>
    </row>
    <row r="151" spans="1:5" x14ac:dyDescent="0.25">
      <c r="A151">
        <v>760199</v>
      </c>
      <c r="B151" s="16">
        <v>47710</v>
      </c>
      <c r="C151" s="37" t="s">
        <v>319</v>
      </c>
      <c r="D151" s="37" t="s">
        <v>51</v>
      </c>
      <c r="E151" s="37" t="s">
        <v>320</v>
      </c>
    </row>
    <row r="152" spans="1:5" x14ac:dyDescent="0.25">
      <c r="A152">
        <v>760199</v>
      </c>
      <c r="B152" s="16">
        <v>48441</v>
      </c>
      <c r="C152" s="37" t="s">
        <v>321</v>
      </c>
      <c r="D152" s="37" t="s">
        <v>51</v>
      </c>
      <c r="E152" s="37" t="s">
        <v>322</v>
      </c>
    </row>
    <row r="153" spans="1:5" x14ac:dyDescent="0.25">
      <c r="A153">
        <v>760199</v>
      </c>
      <c r="B153" s="16">
        <v>49444</v>
      </c>
      <c r="C153" s="37" t="s">
        <v>323</v>
      </c>
      <c r="D153" s="37" t="s">
        <v>51</v>
      </c>
      <c r="E153" s="37" t="s">
        <v>324</v>
      </c>
    </row>
    <row r="154" spans="1:5" x14ac:dyDescent="0.25">
      <c r="A154">
        <v>760199</v>
      </c>
      <c r="B154" s="16">
        <v>51363</v>
      </c>
      <c r="C154" s="37" t="s">
        <v>325</v>
      </c>
      <c r="D154" s="37" t="s">
        <v>51</v>
      </c>
      <c r="E154" s="37" t="s">
        <v>326</v>
      </c>
    </row>
    <row r="155" spans="1:5" x14ac:dyDescent="0.25">
      <c r="A155">
        <v>760199</v>
      </c>
      <c r="B155" s="16">
        <v>53097</v>
      </c>
      <c r="C155" s="37" t="s">
        <v>327</v>
      </c>
      <c r="D155" s="37" t="s">
        <v>51</v>
      </c>
      <c r="E155" s="37" t="s">
        <v>328</v>
      </c>
    </row>
    <row r="156" spans="1:5" x14ac:dyDescent="0.25">
      <c r="A156">
        <v>760199</v>
      </c>
      <c r="B156" s="16">
        <v>55015</v>
      </c>
      <c r="C156" s="37" t="s">
        <v>329</v>
      </c>
      <c r="D156" s="37" t="s">
        <v>51</v>
      </c>
      <c r="E156" s="37" t="s">
        <v>330</v>
      </c>
    </row>
    <row r="157" spans="1:5" x14ac:dyDescent="0.25">
      <c r="A157">
        <v>760199</v>
      </c>
      <c r="B157" s="16">
        <v>56749</v>
      </c>
      <c r="C157" s="37" t="s">
        <v>331</v>
      </c>
      <c r="D157" s="37" t="s">
        <v>51</v>
      </c>
      <c r="E157" s="37" t="s">
        <v>332</v>
      </c>
    </row>
    <row r="158" spans="1:5" x14ac:dyDescent="0.25">
      <c r="A158">
        <v>760199</v>
      </c>
      <c r="B158" s="16">
        <v>58668</v>
      </c>
      <c r="C158" s="37" t="s">
        <v>333</v>
      </c>
      <c r="D158" s="37" t="s">
        <v>51</v>
      </c>
      <c r="E158" s="37" t="s">
        <v>334</v>
      </c>
    </row>
    <row r="159" spans="1:5" x14ac:dyDescent="0.25">
      <c r="A159">
        <v>770100</v>
      </c>
      <c r="B159" s="16">
        <v>47849</v>
      </c>
      <c r="C159" s="37" t="s">
        <v>335</v>
      </c>
      <c r="D159" s="37" t="s">
        <v>51</v>
      </c>
      <c r="E159" s="37" t="s">
        <v>83</v>
      </c>
    </row>
    <row r="160" spans="1:5" x14ac:dyDescent="0.25">
      <c r="A160">
        <v>950197</v>
      </c>
      <c r="B160" s="16">
        <v>44743</v>
      </c>
      <c r="C160" s="37" t="s">
        <v>336</v>
      </c>
      <c r="D160" s="37" t="s">
        <v>51</v>
      </c>
      <c r="E160" s="37" t="s">
        <v>337</v>
      </c>
    </row>
    <row r="161" spans="1:5" x14ac:dyDescent="0.25">
      <c r="A161">
        <v>950197</v>
      </c>
      <c r="B161" s="16">
        <v>44927</v>
      </c>
      <c r="C161" s="37" t="s">
        <v>338</v>
      </c>
      <c r="D161" s="37" t="s">
        <v>51</v>
      </c>
      <c r="E161" s="37" t="s">
        <v>337</v>
      </c>
    </row>
    <row r="162" spans="1:5" x14ac:dyDescent="0.25">
      <c r="A162">
        <v>950197</v>
      </c>
      <c r="B162" s="16">
        <v>45108</v>
      </c>
      <c r="C162" s="37" t="s">
        <v>339</v>
      </c>
      <c r="D162" s="37" t="s">
        <v>51</v>
      </c>
      <c r="E162" s="37" t="s">
        <v>84</v>
      </c>
    </row>
    <row r="163" spans="1:5" x14ac:dyDescent="0.25">
      <c r="A163">
        <v>950197</v>
      </c>
      <c r="B163" s="16">
        <v>45292</v>
      </c>
      <c r="C163" s="37" t="s">
        <v>340</v>
      </c>
      <c r="D163" s="37" t="s">
        <v>51</v>
      </c>
      <c r="E163" s="37" t="s">
        <v>84</v>
      </c>
    </row>
    <row r="164" spans="1:5" x14ac:dyDescent="0.25">
      <c r="A164">
        <v>950197</v>
      </c>
      <c r="B164" s="16">
        <v>45474</v>
      </c>
      <c r="C164" s="37" t="s">
        <v>341</v>
      </c>
      <c r="D164" s="37" t="s">
        <v>51</v>
      </c>
      <c r="E164" s="37" t="s">
        <v>84</v>
      </c>
    </row>
    <row r="165" spans="1:5" x14ac:dyDescent="0.25">
      <c r="A165">
        <v>950197</v>
      </c>
      <c r="B165" s="16">
        <v>45658</v>
      </c>
      <c r="C165" s="37" t="s">
        <v>342</v>
      </c>
      <c r="D165" s="37" t="s">
        <v>51</v>
      </c>
      <c r="E165" s="37" t="s">
        <v>84</v>
      </c>
    </row>
    <row r="166" spans="1:5" x14ac:dyDescent="0.25">
      <c r="A166">
        <v>950197</v>
      </c>
      <c r="B166" s="16">
        <v>45839</v>
      </c>
      <c r="C166" s="37" t="s">
        <v>343</v>
      </c>
      <c r="D166" s="37" t="s">
        <v>51</v>
      </c>
      <c r="E166" s="37" t="s">
        <v>85</v>
      </c>
    </row>
    <row r="167" spans="1:5" x14ac:dyDescent="0.25">
      <c r="A167">
        <v>950197</v>
      </c>
      <c r="B167" s="16">
        <v>46023</v>
      </c>
      <c r="C167" s="37" t="s">
        <v>344</v>
      </c>
      <c r="D167" s="37" t="s">
        <v>51</v>
      </c>
      <c r="E167" s="37" t="s">
        <v>85</v>
      </c>
    </row>
    <row r="168" spans="1:5" x14ac:dyDescent="0.25">
      <c r="A168">
        <v>950197</v>
      </c>
      <c r="B168" s="16">
        <v>46204</v>
      </c>
      <c r="C168" s="37" t="s">
        <v>345</v>
      </c>
      <c r="D168" s="37" t="s">
        <v>51</v>
      </c>
      <c r="E168" s="37" t="s">
        <v>85</v>
      </c>
    </row>
    <row r="169" spans="1:5" x14ac:dyDescent="0.25">
      <c r="A169">
        <v>950197</v>
      </c>
      <c r="B169" s="16">
        <v>46388</v>
      </c>
      <c r="C169" s="37" t="s">
        <v>346</v>
      </c>
      <c r="D169" s="37" t="s">
        <v>51</v>
      </c>
      <c r="E169" s="37" t="s">
        <v>85</v>
      </c>
    </row>
    <row r="170" spans="1:5" x14ac:dyDescent="0.25">
      <c r="A170">
        <v>950197</v>
      </c>
      <c r="B170" s="16">
        <v>46569</v>
      </c>
      <c r="C170" s="37" t="s">
        <v>347</v>
      </c>
      <c r="D170" s="37" t="s">
        <v>51</v>
      </c>
      <c r="E170" s="37" t="s">
        <v>85</v>
      </c>
    </row>
    <row r="171" spans="1:5" x14ac:dyDescent="0.25">
      <c r="A171">
        <v>950197</v>
      </c>
      <c r="B171" s="16">
        <v>46753</v>
      </c>
      <c r="C171" s="37" t="s">
        <v>348</v>
      </c>
      <c r="D171" s="37" t="s">
        <v>51</v>
      </c>
      <c r="E171" s="37" t="s">
        <v>85</v>
      </c>
    </row>
    <row r="172" spans="1:5" x14ac:dyDescent="0.25">
      <c r="A172">
        <v>950197</v>
      </c>
      <c r="B172" s="16">
        <v>46935</v>
      </c>
      <c r="C172" s="37" t="s">
        <v>349</v>
      </c>
      <c r="D172" s="37" t="s">
        <v>51</v>
      </c>
      <c r="E172" s="37" t="s">
        <v>85</v>
      </c>
    </row>
    <row r="173" spans="1:5" x14ac:dyDescent="0.25">
      <c r="A173">
        <v>950197</v>
      </c>
      <c r="B173" s="16">
        <v>47119</v>
      </c>
      <c r="C173" s="37" t="s">
        <v>350</v>
      </c>
      <c r="D173" s="37" t="s">
        <v>51</v>
      </c>
      <c r="E173" s="37" t="s">
        <v>85</v>
      </c>
    </row>
    <row r="174" spans="1:5" x14ac:dyDescent="0.25">
      <c r="A174">
        <v>950198</v>
      </c>
      <c r="B174" s="16">
        <v>44927</v>
      </c>
      <c r="C174" s="37" t="s">
        <v>164</v>
      </c>
      <c r="D174" s="37" t="s">
        <v>51</v>
      </c>
      <c r="E174" s="37" t="s">
        <v>351</v>
      </c>
    </row>
    <row r="175" spans="1:5" x14ac:dyDescent="0.25">
      <c r="A175">
        <v>950198</v>
      </c>
      <c r="B175" s="16">
        <v>45658</v>
      </c>
      <c r="C175" s="37" t="s">
        <v>174</v>
      </c>
      <c r="D175" s="37" t="s">
        <v>51</v>
      </c>
      <c r="E175" s="37" t="s">
        <v>86</v>
      </c>
    </row>
    <row r="176" spans="1:5" x14ac:dyDescent="0.25">
      <c r="A176">
        <v>950198</v>
      </c>
      <c r="B176" s="16">
        <v>47119</v>
      </c>
      <c r="C176" s="37" t="s">
        <v>180</v>
      </c>
      <c r="D176" s="37" t="s">
        <v>51</v>
      </c>
      <c r="E176" s="37" t="s">
        <v>85</v>
      </c>
    </row>
    <row r="177" spans="1:5" x14ac:dyDescent="0.25">
      <c r="A177">
        <v>950199</v>
      </c>
      <c r="B177" s="16">
        <v>44927</v>
      </c>
      <c r="C177" s="37" t="s">
        <v>352</v>
      </c>
      <c r="D177" s="37" t="s">
        <v>51</v>
      </c>
      <c r="E177" s="37" t="s">
        <v>353</v>
      </c>
    </row>
    <row r="178" spans="1:5" x14ac:dyDescent="0.25">
      <c r="A178">
        <v>950199</v>
      </c>
      <c r="B178" s="16">
        <v>45658</v>
      </c>
      <c r="C178" s="37" t="s">
        <v>354</v>
      </c>
      <c r="D178" s="37" t="s">
        <v>51</v>
      </c>
      <c r="E178" s="37" t="s">
        <v>355</v>
      </c>
    </row>
    <row r="179" spans="1:5" x14ac:dyDescent="0.25">
      <c r="A179">
        <v>950199</v>
      </c>
      <c r="B179" s="16">
        <v>46388</v>
      </c>
      <c r="C179" s="37" t="s">
        <v>356</v>
      </c>
      <c r="D179" s="37" t="s">
        <v>51</v>
      </c>
      <c r="E179" s="37" t="s">
        <v>357</v>
      </c>
    </row>
    <row r="180" spans="1:5" x14ac:dyDescent="0.25">
      <c r="A180">
        <v>950199</v>
      </c>
      <c r="B180" s="16">
        <v>47119</v>
      </c>
      <c r="C180" s="37" t="s">
        <v>358</v>
      </c>
      <c r="D180" s="37" t="s">
        <v>51</v>
      </c>
      <c r="E180" s="37" t="s">
        <v>359</v>
      </c>
    </row>
    <row r="181" spans="1:5" x14ac:dyDescent="0.25">
      <c r="A181">
        <v>950199</v>
      </c>
      <c r="B181" s="16">
        <v>47849</v>
      </c>
      <c r="C181" s="37" t="s">
        <v>360</v>
      </c>
      <c r="D181" s="37" t="s">
        <v>51</v>
      </c>
      <c r="E181" s="37" t="s">
        <v>361</v>
      </c>
    </row>
    <row r="182" spans="1:5" x14ac:dyDescent="0.25">
      <c r="A182">
        <v>950199</v>
      </c>
      <c r="B182" s="16">
        <v>48580</v>
      </c>
      <c r="C182" s="37" t="s">
        <v>362</v>
      </c>
      <c r="D182" s="37" t="s">
        <v>51</v>
      </c>
      <c r="E182" s="37" t="s">
        <v>363</v>
      </c>
    </row>
    <row r="183" spans="1:5" x14ac:dyDescent="0.25">
      <c r="A183" t="s">
        <v>52</v>
      </c>
    </row>
    <row r="184" spans="1:5" x14ac:dyDescent="0.25">
      <c r="A184" t="s">
        <v>53</v>
      </c>
    </row>
    <row r="185" spans="1:5" x14ac:dyDescent="0.25">
      <c r="A185" t="s">
        <v>54</v>
      </c>
    </row>
    <row r="186" spans="1:5" x14ac:dyDescent="0.25">
      <c r="A186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/>
  <dimension ref="A1:C32"/>
  <sheetViews>
    <sheetView workbookViewId="0"/>
  </sheetViews>
  <sheetFormatPr defaultRowHeight="15" x14ac:dyDescent="0.25"/>
  <cols>
    <col min="1" max="1" width="50.42578125" bestFit="1" customWidth="1"/>
    <col min="2" max="2" width="16.42578125" style="16" bestFit="1" customWidth="1"/>
    <col min="3" max="3" width="34.7109375" bestFit="1" customWidth="1"/>
  </cols>
  <sheetData>
    <row r="1" spans="1:3" x14ac:dyDescent="0.25">
      <c r="A1" s="29" t="s">
        <v>367</v>
      </c>
      <c r="B1" s="29"/>
      <c r="C1" s="29"/>
    </row>
    <row r="2" spans="1:3" x14ac:dyDescent="0.25">
      <c r="A2" s="33"/>
      <c r="B2" s="34" t="s">
        <v>0</v>
      </c>
      <c r="C2" s="34" t="s">
        <v>24</v>
      </c>
    </row>
    <row r="3" spans="1:3" x14ac:dyDescent="0.25">
      <c r="A3" s="33"/>
      <c r="B3" s="34"/>
      <c r="C3" s="34"/>
    </row>
    <row r="4" spans="1:3" x14ac:dyDescent="0.25">
      <c r="A4" s="18" t="s">
        <v>25</v>
      </c>
      <c r="B4" s="19">
        <v>44735</v>
      </c>
      <c r="C4" s="20">
        <v>13.15</v>
      </c>
    </row>
    <row r="5" spans="1:3" x14ac:dyDescent="0.25">
      <c r="A5" s="18" t="s">
        <v>26</v>
      </c>
      <c r="B5" s="19">
        <v>44735</v>
      </c>
      <c r="C5" s="20">
        <v>13.15</v>
      </c>
    </row>
    <row r="6" spans="1:3" x14ac:dyDescent="0.25">
      <c r="A6" s="18" t="s">
        <v>27</v>
      </c>
      <c r="B6" s="19">
        <v>44735</v>
      </c>
      <c r="C6" s="20">
        <v>13.15</v>
      </c>
    </row>
    <row r="7" spans="1:3" ht="25.5" x14ac:dyDescent="0.25">
      <c r="A7" s="30"/>
      <c r="B7" s="34"/>
      <c r="C7" s="32" t="s">
        <v>28</v>
      </c>
    </row>
    <row r="8" spans="1:3" x14ac:dyDescent="0.25">
      <c r="A8" s="30"/>
      <c r="B8" s="34"/>
      <c r="C8" s="32"/>
    </row>
    <row r="9" spans="1:3" x14ac:dyDescent="0.25">
      <c r="A9" s="18" t="s">
        <v>29</v>
      </c>
      <c r="B9" s="21" t="s">
        <v>30</v>
      </c>
      <c r="C9" s="22">
        <v>1183.953</v>
      </c>
    </row>
    <row r="10" spans="1:3" x14ac:dyDescent="0.25">
      <c r="A10" s="18"/>
      <c r="B10" s="21" t="s">
        <v>31</v>
      </c>
      <c r="C10" s="20">
        <v>0.52</v>
      </c>
    </row>
    <row r="11" spans="1:3" x14ac:dyDescent="0.25">
      <c r="A11" s="23" t="s">
        <v>32</v>
      </c>
      <c r="B11" s="21" t="s">
        <v>33</v>
      </c>
      <c r="C11" s="20">
        <v>0.66</v>
      </c>
    </row>
    <row r="12" spans="1:3" x14ac:dyDescent="0.25">
      <c r="A12" s="18" t="s">
        <v>34</v>
      </c>
      <c r="B12" s="21" t="s">
        <v>30</v>
      </c>
      <c r="C12" s="24">
        <v>6412.88</v>
      </c>
    </row>
    <row r="13" spans="1:3" x14ac:dyDescent="0.25">
      <c r="A13" s="18"/>
      <c r="B13" s="21" t="s">
        <v>31</v>
      </c>
      <c r="C13" s="20">
        <v>0.47</v>
      </c>
    </row>
    <row r="14" spans="1:3" x14ac:dyDescent="0.25">
      <c r="A14" s="18" t="s">
        <v>35</v>
      </c>
      <c r="B14" s="21" t="s">
        <v>33</v>
      </c>
      <c r="C14" s="20">
        <v>0.64</v>
      </c>
    </row>
    <row r="15" spans="1:3" x14ac:dyDescent="0.25">
      <c r="A15" s="30"/>
      <c r="B15" s="31" t="s">
        <v>0</v>
      </c>
      <c r="C15" s="32" t="s">
        <v>36</v>
      </c>
    </row>
    <row r="16" spans="1:3" x14ac:dyDescent="0.25">
      <c r="A16" s="30"/>
      <c r="B16" s="31"/>
      <c r="C16" s="32"/>
    </row>
    <row r="17" spans="1:3" x14ac:dyDescent="0.25">
      <c r="A17" s="18" t="s">
        <v>37</v>
      </c>
      <c r="B17" s="19">
        <v>44735</v>
      </c>
      <c r="C17" s="25">
        <v>5.1826999999999996</v>
      </c>
    </row>
    <row r="18" spans="1:3" x14ac:dyDescent="0.25">
      <c r="A18" s="18" t="s">
        <v>38</v>
      </c>
      <c r="B18" s="19">
        <v>44735</v>
      </c>
      <c r="C18" s="25">
        <v>5.1833</v>
      </c>
    </row>
    <row r="19" spans="1:3" x14ac:dyDescent="0.25">
      <c r="A19" s="30"/>
      <c r="B19" s="31" t="s">
        <v>0</v>
      </c>
      <c r="C19" s="32" t="s">
        <v>39</v>
      </c>
    </row>
    <row r="20" spans="1:3" x14ac:dyDescent="0.25">
      <c r="A20" s="30"/>
      <c r="B20" s="31"/>
      <c r="C20" s="32"/>
    </row>
    <row r="21" spans="1:3" x14ac:dyDescent="0.25">
      <c r="A21" s="18" t="s">
        <v>40</v>
      </c>
      <c r="B21" s="19">
        <v>44735</v>
      </c>
      <c r="C21" s="25">
        <v>5.4424000000000001</v>
      </c>
    </row>
    <row r="22" spans="1:3" x14ac:dyDescent="0.25">
      <c r="A22" s="18" t="s">
        <v>41</v>
      </c>
      <c r="B22" s="19">
        <v>44735</v>
      </c>
      <c r="C22" s="25">
        <v>5.444</v>
      </c>
    </row>
    <row r="23" spans="1:3" x14ac:dyDescent="0.25">
      <c r="A23" s="30"/>
      <c r="B23" s="31" t="s">
        <v>0</v>
      </c>
      <c r="C23" s="32" t="s">
        <v>42</v>
      </c>
    </row>
    <row r="24" spans="1:3" x14ac:dyDescent="0.25">
      <c r="A24" s="30"/>
      <c r="B24" s="31"/>
      <c r="C24" s="32"/>
    </row>
    <row r="25" spans="1:3" x14ac:dyDescent="0.25">
      <c r="A25" s="18" t="s">
        <v>43</v>
      </c>
      <c r="B25" s="19">
        <v>44734</v>
      </c>
      <c r="C25" s="26">
        <v>0.19139999999999999</v>
      </c>
    </row>
    <row r="26" spans="1:3" x14ac:dyDescent="0.25">
      <c r="A26" s="18" t="s">
        <v>44</v>
      </c>
      <c r="B26" s="19">
        <v>44734</v>
      </c>
      <c r="C26" s="26">
        <v>1.0229999999999999</v>
      </c>
    </row>
    <row r="27" spans="1:3" x14ac:dyDescent="0.25">
      <c r="A27" s="30"/>
      <c r="B27" s="31" t="s">
        <v>0</v>
      </c>
      <c r="C27" s="32" t="s">
        <v>45</v>
      </c>
    </row>
    <row r="28" spans="1:3" x14ac:dyDescent="0.25">
      <c r="A28" s="30"/>
      <c r="B28" s="31"/>
      <c r="C28" s="32"/>
    </row>
    <row r="29" spans="1:3" x14ac:dyDescent="0.25">
      <c r="A29" s="18" t="s">
        <v>46</v>
      </c>
      <c r="B29" s="19">
        <v>44735</v>
      </c>
      <c r="C29" s="28">
        <v>6.6692000000000001E-2</v>
      </c>
    </row>
    <row r="30" spans="1:3" x14ac:dyDescent="0.25">
      <c r="A30" s="27" t="s">
        <v>46</v>
      </c>
      <c r="B30" s="19">
        <v>44734</v>
      </c>
      <c r="C30" s="28">
        <v>6.6681000000000004E-2</v>
      </c>
    </row>
    <row r="31" spans="1:3" x14ac:dyDescent="0.25">
      <c r="A31" s="35" t="s">
        <v>47</v>
      </c>
      <c r="B31" s="35"/>
      <c r="C31" s="35"/>
    </row>
    <row r="32" spans="1:3" x14ac:dyDescent="0.25">
      <c r="A32" s="36" t="s">
        <v>48</v>
      </c>
      <c r="B32" s="36"/>
      <c r="C32" s="36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K19"/>
  <sheetViews>
    <sheetView workbookViewId="0">
      <selection sqref="A1:K19"/>
    </sheetView>
  </sheetViews>
  <sheetFormatPr defaultRowHeight="15" x14ac:dyDescent="0.25"/>
  <cols>
    <col min="2" max="2" width="17.85546875" style="16" bestFit="1" customWidth="1"/>
    <col min="3" max="3" width="29.28515625" style="16" bestFit="1" customWidth="1"/>
    <col min="4" max="4" width="11" style="37" bestFit="1" customWidth="1"/>
    <col min="5" max="5" width="10.5703125" style="37" bestFit="1" customWidth="1"/>
    <col min="6" max="6" width="13.7109375" style="37" bestFit="1" customWidth="1"/>
    <col min="7" max="7" width="15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109</v>
      </c>
      <c r="C3" s="16" t="s">
        <v>110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210100</v>
      </c>
      <c r="B6" s="16">
        <v>36708</v>
      </c>
      <c r="C6" s="16">
        <v>44805</v>
      </c>
      <c r="D6" s="37">
        <v>4.4400000000000002E-2</v>
      </c>
      <c r="E6" s="37">
        <v>3.39E-2</v>
      </c>
      <c r="F6" s="37">
        <v>3.9800000000000002E-2</v>
      </c>
      <c r="G6" s="37">
        <v>11803.800076</v>
      </c>
      <c r="H6" s="37">
        <v>-5.2999999999999999E-2</v>
      </c>
      <c r="I6" s="37">
        <v>6.8699999999999997E-2</v>
      </c>
      <c r="J6" s="37">
        <v>-5.1700000000000003E-2</v>
      </c>
      <c r="K6" s="37">
        <v>7.0099999999999996E-2</v>
      </c>
    </row>
    <row r="7" spans="1:11" x14ac:dyDescent="0.25">
      <c r="A7">
        <v>210100</v>
      </c>
      <c r="B7" s="16">
        <v>36708</v>
      </c>
      <c r="C7" s="16">
        <v>44986</v>
      </c>
      <c r="D7" s="37">
        <v>4.0399999999999998E-2</v>
      </c>
      <c r="E7" s="37">
        <v>3.3399999999999999E-2</v>
      </c>
      <c r="F7" s="37">
        <v>3.8300000000000001E-2</v>
      </c>
      <c r="G7" s="37">
        <v>11801.628000999999</v>
      </c>
      <c r="H7" s="37">
        <v>-1.4E-2</v>
      </c>
      <c r="I7" s="37">
        <v>8.2000000000000003E-2</v>
      </c>
      <c r="J7" s="37">
        <v>-1.35E-2</v>
      </c>
      <c r="K7" s="37">
        <v>8.2600000000000007E-2</v>
      </c>
    </row>
    <row r="8" spans="1:11" x14ac:dyDescent="0.25">
      <c r="A8">
        <v>210100</v>
      </c>
      <c r="B8" s="16">
        <v>36708</v>
      </c>
      <c r="C8" s="16">
        <v>45170</v>
      </c>
      <c r="D8" s="37">
        <v>5.2299999999999999E-2</v>
      </c>
      <c r="E8" s="37">
        <v>4.6300000000000001E-2</v>
      </c>
      <c r="F8" s="37">
        <v>4.9599999999999998E-2</v>
      </c>
      <c r="G8" s="37">
        <v>11797.732432000001</v>
      </c>
      <c r="H8" s="37">
        <v>-4.7999999999999996E-3</v>
      </c>
      <c r="I8" s="37">
        <v>0.1113</v>
      </c>
      <c r="J8" s="37">
        <v>-3.5999999999999999E-3</v>
      </c>
      <c r="K8" s="37">
        <v>0.11</v>
      </c>
    </row>
    <row r="9" spans="1:11" x14ac:dyDescent="0.25">
      <c r="A9">
        <v>210100</v>
      </c>
      <c r="B9" s="16">
        <v>36708</v>
      </c>
      <c r="C9" s="16">
        <v>45352</v>
      </c>
      <c r="D9" s="37">
        <v>7.0400000000000004E-2</v>
      </c>
      <c r="E9" s="37">
        <v>6.1899999999999997E-2</v>
      </c>
      <c r="F9" s="37">
        <v>6.7799999999999999E-2</v>
      </c>
      <c r="G9" s="37">
        <v>11791.298838999999</v>
      </c>
      <c r="H9" s="37">
        <v>1.35E-2</v>
      </c>
      <c r="I9" s="37">
        <v>0.1338</v>
      </c>
      <c r="J9" s="37">
        <v>1.2999999999999999E-2</v>
      </c>
      <c r="K9" s="37">
        <v>0.13339999999999999</v>
      </c>
    </row>
    <row r="10" spans="1:11" x14ac:dyDescent="0.25">
      <c r="A10">
        <v>210100</v>
      </c>
      <c r="B10" s="16">
        <v>36708</v>
      </c>
      <c r="C10" s="16">
        <v>45536</v>
      </c>
      <c r="D10" s="37">
        <v>9.2399999999999996E-2</v>
      </c>
      <c r="E10" s="37">
        <v>8.5400000000000004E-2</v>
      </c>
      <c r="F10" s="37">
        <v>8.8499999999999995E-2</v>
      </c>
      <c r="G10" s="37">
        <v>11781.902253</v>
      </c>
      <c r="H10" s="37">
        <v>3.39E-2</v>
      </c>
      <c r="I10" s="37">
        <v>0.15740000000000001</v>
      </c>
      <c r="J10" s="37">
        <v>3.2800000000000003E-2</v>
      </c>
      <c r="K10" s="37">
        <v>0.157</v>
      </c>
    </row>
    <row r="11" spans="1:11" x14ac:dyDescent="0.25">
      <c r="A11">
        <v>210100</v>
      </c>
      <c r="B11" s="16">
        <v>36708</v>
      </c>
      <c r="C11" s="16">
        <v>45717</v>
      </c>
      <c r="D11" s="37">
        <v>0.1128</v>
      </c>
      <c r="E11" s="37">
        <v>0.105</v>
      </c>
      <c r="F11" s="37">
        <v>0.1086</v>
      </c>
      <c r="G11" s="37">
        <v>11770.274568000001</v>
      </c>
      <c r="H11" s="37">
        <v>5.4300000000000001E-2</v>
      </c>
      <c r="I11" s="37">
        <v>0.17780000000000001</v>
      </c>
      <c r="J11" s="37">
        <v>5.3600000000000002E-2</v>
      </c>
      <c r="K11" s="37">
        <v>0.1767</v>
      </c>
    </row>
    <row r="12" spans="1:11" x14ac:dyDescent="0.25">
      <c r="A12">
        <v>210100</v>
      </c>
      <c r="B12" s="16">
        <v>36708</v>
      </c>
      <c r="C12" s="16">
        <v>45901</v>
      </c>
      <c r="D12" s="37">
        <v>0.13250000000000001</v>
      </c>
      <c r="E12" s="37">
        <v>0.123</v>
      </c>
      <c r="F12" s="37">
        <v>0.12770000000000001</v>
      </c>
      <c r="G12" s="37">
        <v>11756.840756</v>
      </c>
      <c r="H12" s="37">
        <v>7.1199999999999999E-2</v>
      </c>
      <c r="I12" s="37">
        <v>0.19589999999999999</v>
      </c>
      <c r="J12" s="37">
        <v>7.0099999999999996E-2</v>
      </c>
      <c r="K12" s="37">
        <v>0.19500000000000001</v>
      </c>
    </row>
    <row r="13" spans="1:11" x14ac:dyDescent="0.25">
      <c r="A13">
        <v>210100</v>
      </c>
      <c r="B13" s="16">
        <v>36708</v>
      </c>
      <c r="C13" s="16">
        <v>46082</v>
      </c>
      <c r="D13" s="37">
        <v>0.14879999999999999</v>
      </c>
      <c r="E13" s="37">
        <v>0.1426</v>
      </c>
      <c r="F13" s="37">
        <v>0.14510000000000001</v>
      </c>
      <c r="G13" s="37">
        <v>11741.825106</v>
      </c>
      <c r="H13" s="37">
        <v>8.2799999999999999E-2</v>
      </c>
      <c r="I13" s="37">
        <v>0.21290000000000001</v>
      </c>
      <c r="J13" s="37">
        <v>8.2000000000000003E-2</v>
      </c>
      <c r="K13" s="37">
        <v>0.21160000000000001</v>
      </c>
    </row>
    <row r="14" spans="1:11" x14ac:dyDescent="0.25">
      <c r="A14">
        <v>210100</v>
      </c>
      <c r="B14" s="16">
        <v>36708</v>
      </c>
      <c r="C14" s="16">
        <v>46266</v>
      </c>
      <c r="D14" s="37">
        <v>0.153</v>
      </c>
      <c r="E14" s="37">
        <v>0.1409</v>
      </c>
      <c r="F14" s="37">
        <v>0.14749999999999999</v>
      </c>
      <c r="G14" s="37">
        <v>11732.062572000001</v>
      </c>
      <c r="H14" s="37">
        <v>9.7500000000000003E-2</v>
      </c>
      <c r="I14" s="37">
        <v>0.2203</v>
      </c>
      <c r="J14" s="37">
        <v>9.5799999999999996E-2</v>
      </c>
      <c r="K14" s="37">
        <v>0.22009999999999999</v>
      </c>
    </row>
    <row r="15" spans="1:11" x14ac:dyDescent="0.25">
      <c r="A15">
        <v>210100</v>
      </c>
      <c r="B15" s="16">
        <v>36708</v>
      </c>
      <c r="C15" s="16">
        <v>46447</v>
      </c>
      <c r="D15" s="37">
        <v>0.1595</v>
      </c>
      <c r="E15" s="37">
        <v>0.15629999999999999</v>
      </c>
      <c r="F15" s="37">
        <v>0.1578</v>
      </c>
      <c r="G15" s="37">
        <v>11718.062131999999</v>
      </c>
      <c r="H15" s="37">
        <v>0.1061</v>
      </c>
      <c r="I15" s="37">
        <v>0.22670000000000001</v>
      </c>
      <c r="J15" s="37">
        <v>0.1061</v>
      </c>
      <c r="K15" s="37">
        <v>0.22489999999999999</v>
      </c>
    </row>
    <row r="16" spans="1:11" x14ac:dyDescent="0.25">
      <c r="A16">
        <v>210100</v>
      </c>
      <c r="B16" s="16">
        <v>36708</v>
      </c>
      <c r="C16" s="16">
        <v>46631</v>
      </c>
      <c r="D16" s="37">
        <v>0.16420000000000001</v>
      </c>
      <c r="E16" s="37">
        <v>0.15939999999999999</v>
      </c>
      <c r="F16" s="37">
        <v>0.16109999999999999</v>
      </c>
      <c r="G16" s="37">
        <v>11706.611518</v>
      </c>
      <c r="H16" s="37">
        <v>0.11</v>
      </c>
      <c r="I16" s="37">
        <v>0.23150000000000001</v>
      </c>
      <c r="J16" s="37">
        <v>0.1089</v>
      </c>
      <c r="K16" s="37">
        <v>0.23089999999999999</v>
      </c>
    </row>
    <row r="17" spans="1:11" x14ac:dyDescent="0.25">
      <c r="A17">
        <v>210100</v>
      </c>
      <c r="B17" s="16">
        <v>36708</v>
      </c>
      <c r="C17" s="16">
        <v>46813</v>
      </c>
      <c r="D17" s="37">
        <v>0.16350000000000001</v>
      </c>
      <c r="E17" s="37">
        <v>0.15870000000000001</v>
      </c>
      <c r="F17" s="37">
        <v>0.16070000000000001</v>
      </c>
      <c r="G17" s="37">
        <v>11697.604488999999</v>
      </c>
      <c r="H17" s="37">
        <v>0.1082</v>
      </c>
      <c r="I17" s="37">
        <v>0.23350000000000001</v>
      </c>
      <c r="J17" s="37">
        <v>0.1077</v>
      </c>
      <c r="K17" s="37">
        <v>0.23250000000000001</v>
      </c>
    </row>
    <row r="18" spans="1:11" x14ac:dyDescent="0.25">
      <c r="A18">
        <v>210100</v>
      </c>
      <c r="B18" s="16">
        <v>36708</v>
      </c>
      <c r="C18" s="16">
        <v>46997</v>
      </c>
      <c r="D18" s="37">
        <v>0.1681</v>
      </c>
      <c r="E18" s="37">
        <v>0.1618</v>
      </c>
      <c r="F18" s="37">
        <v>0.16489999999999999</v>
      </c>
      <c r="G18" s="37">
        <v>11685.032423000001</v>
      </c>
      <c r="H18" s="37">
        <v>0.10390000000000001</v>
      </c>
      <c r="I18" s="37">
        <v>0.23200000000000001</v>
      </c>
      <c r="J18" s="37">
        <v>0.10440000000000001</v>
      </c>
      <c r="K18" s="37">
        <v>0.2303</v>
      </c>
    </row>
    <row r="19" spans="1:11" x14ac:dyDescent="0.25">
      <c r="A19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K16"/>
  <sheetViews>
    <sheetView workbookViewId="0">
      <selection sqref="A1:K16"/>
    </sheetView>
  </sheetViews>
  <sheetFormatPr defaultRowHeight="15" x14ac:dyDescent="0.25"/>
  <cols>
    <col min="2" max="2" width="17.85546875" style="16" bestFit="1" customWidth="1"/>
    <col min="3" max="3" width="21" style="16" bestFit="1" customWidth="1"/>
    <col min="4" max="5" width="11.5703125" style="37" bestFit="1" customWidth="1"/>
    <col min="6" max="6" width="13.7109375" style="37" bestFit="1" customWidth="1"/>
    <col min="7" max="7" width="12.57031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88</v>
      </c>
      <c r="C3" s="16" t="s">
        <v>89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100000</v>
      </c>
      <c r="B6" s="16">
        <v>43287</v>
      </c>
      <c r="C6" s="16">
        <v>44743</v>
      </c>
      <c r="D6" s="37">
        <v>13.212</v>
      </c>
      <c r="E6" s="37">
        <v>13.1997</v>
      </c>
      <c r="F6" s="37">
        <v>13.207000000000001</v>
      </c>
      <c r="G6" s="37">
        <v>996.560157</v>
      </c>
      <c r="H6" s="37">
        <v>12.973000000000001</v>
      </c>
      <c r="I6" s="37">
        <v>13.479799999999999</v>
      </c>
      <c r="J6" s="37">
        <v>12.9689</v>
      </c>
      <c r="K6" s="37">
        <v>13.4857</v>
      </c>
    </row>
    <row r="7" spans="1:11" x14ac:dyDescent="0.25">
      <c r="A7">
        <v>100000</v>
      </c>
      <c r="B7" s="16">
        <v>44015</v>
      </c>
      <c r="C7" s="16">
        <v>44835</v>
      </c>
      <c r="D7" s="37">
        <v>13.411099999999999</v>
      </c>
      <c r="E7" s="37">
        <v>13.394299999999999</v>
      </c>
      <c r="F7" s="37">
        <v>13.4031</v>
      </c>
      <c r="G7" s="37">
        <v>964.70133099999998</v>
      </c>
      <c r="H7" s="37">
        <v>13.2836</v>
      </c>
      <c r="I7" s="37">
        <v>13.7727</v>
      </c>
      <c r="J7" s="37">
        <v>13.2788</v>
      </c>
      <c r="K7" s="37">
        <v>13.765700000000001</v>
      </c>
    </row>
    <row r="8" spans="1:11" x14ac:dyDescent="0.25">
      <c r="A8">
        <v>100000</v>
      </c>
      <c r="B8" s="16">
        <v>42389</v>
      </c>
      <c r="C8" s="16">
        <v>44927</v>
      </c>
      <c r="D8" s="37">
        <v>13.577400000000001</v>
      </c>
      <c r="E8" s="37">
        <v>13.5587</v>
      </c>
      <c r="F8" s="37">
        <v>13.5688</v>
      </c>
      <c r="G8" s="37">
        <v>934.57944799999996</v>
      </c>
      <c r="H8" s="37">
        <v>13.397600000000001</v>
      </c>
      <c r="I8" s="37">
        <v>14.0901</v>
      </c>
      <c r="J8" s="37">
        <v>13.3849</v>
      </c>
      <c r="K8" s="37">
        <v>14.074999999999999</v>
      </c>
    </row>
    <row r="9" spans="1:11" x14ac:dyDescent="0.25">
      <c r="A9">
        <v>100000</v>
      </c>
      <c r="B9" s="16">
        <v>44568</v>
      </c>
      <c r="C9" s="16">
        <v>45017</v>
      </c>
      <c r="D9" s="37">
        <v>13.675000000000001</v>
      </c>
      <c r="E9" s="37">
        <v>13.660399999999999</v>
      </c>
      <c r="F9" s="37">
        <v>13.667400000000001</v>
      </c>
      <c r="G9" s="37">
        <v>904.70467699999995</v>
      </c>
      <c r="H9" s="37">
        <v>13.4549</v>
      </c>
      <c r="I9" s="37">
        <v>14.239599999999999</v>
      </c>
      <c r="J9" s="37">
        <v>13.428800000000001</v>
      </c>
      <c r="K9" s="37">
        <v>14.212199999999999</v>
      </c>
    </row>
    <row r="10" spans="1:11" x14ac:dyDescent="0.25">
      <c r="A10">
        <v>100000</v>
      </c>
      <c r="B10" s="16">
        <v>43560</v>
      </c>
      <c r="C10" s="16">
        <v>45108</v>
      </c>
      <c r="D10" s="37">
        <v>13.645200000000001</v>
      </c>
      <c r="E10" s="37">
        <v>13.6317</v>
      </c>
      <c r="F10" s="37">
        <v>13.6386</v>
      </c>
      <c r="G10" s="37">
        <v>877.30798100000004</v>
      </c>
      <c r="H10" s="37">
        <v>13.4184</v>
      </c>
      <c r="I10" s="37">
        <v>14.255699999999999</v>
      </c>
      <c r="J10" s="37">
        <v>13.387</v>
      </c>
      <c r="K10" s="37">
        <v>14.2232</v>
      </c>
    </row>
    <row r="11" spans="1:11" x14ac:dyDescent="0.25">
      <c r="A11">
        <v>100000</v>
      </c>
      <c r="B11" s="16">
        <v>43833</v>
      </c>
      <c r="C11" s="16">
        <v>45292</v>
      </c>
      <c r="D11" s="37">
        <v>13.1708</v>
      </c>
      <c r="E11" s="37">
        <v>13.156000000000001</v>
      </c>
      <c r="F11" s="37">
        <v>13.163</v>
      </c>
      <c r="G11" s="37">
        <v>828.66263500000002</v>
      </c>
      <c r="H11" s="37">
        <v>12.971500000000001</v>
      </c>
      <c r="I11" s="37">
        <v>13.8711</v>
      </c>
      <c r="J11" s="37">
        <v>12.875500000000001</v>
      </c>
      <c r="K11" s="37">
        <v>13.774699999999999</v>
      </c>
    </row>
    <row r="12" spans="1:11" x14ac:dyDescent="0.25">
      <c r="A12">
        <v>100000</v>
      </c>
      <c r="B12" s="16">
        <v>44568</v>
      </c>
      <c r="C12" s="16">
        <v>45383</v>
      </c>
      <c r="D12" s="37">
        <v>12.989000000000001</v>
      </c>
      <c r="E12" s="37">
        <v>12.976599999999999</v>
      </c>
      <c r="F12" s="37">
        <v>12.983000000000001</v>
      </c>
      <c r="G12" s="37">
        <v>806.48438399999998</v>
      </c>
      <c r="H12" s="37">
        <v>12.7822</v>
      </c>
      <c r="I12" s="37">
        <v>13.7117</v>
      </c>
      <c r="J12" s="37">
        <v>12.6654</v>
      </c>
      <c r="K12" s="37">
        <v>13.5943</v>
      </c>
    </row>
    <row r="13" spans="1:11" x14ac:dyDescent="0.25">
      <c r="A13">
        <v>100000</v>
      </c>
      <c r="B13" s="16">
        <v>44204</v>
      </c>
      <c r="C13" s="16">
        <v>45474</v>
      </c>
      <c r="D13" s="37">
        <v>12.766500000000001</v>
      </c>
      <c r="E13" s="37">
        <v>12.7494</v>
      </c>
      <c r="F13" s="37">
        <v>12.758100000000001</v>
      </c>
      <c r="G13" s="37">
        <v>785.38697500000001</v>
      </c>
      <c r="H13" s="37">
        <v>12.536099999999999</v>
      </c>
      <c r="I13" s="37">
        <v>13.498699999999999</v>
      </c>
      <c r="J13" s="37">
        <v>12.4026</v>
      </c>
      <c r="K13" s="37">
        <v>13.364599999999999</v>
      </c>
    </row>
    <row r="14" spans="1:11" x14ac:dyDescent="0.25">
      <c r="A14">
        <v>100000</v>
      </c>
      <c r="B14" s="16">
        <v>43132</v>
      </c>
      <c r="C14" s="16">
        <v>45658</v>
      </c>
      <c r="D14" s="37">
        <v>12.431100000000001</v>
      </c>
      <c r="E14" s="37">
        <v>12.412000000000001</v>
      </c>
      <c r="F14" s="37">
        <v>12.4215</v>
      </c>
      <c r="G14" s="37">
        <v>743.813537</v>
      </c>
      <c r="H14" s="37">
        <v>12.152100000000001</v>
      </c>
      <c r="I14" s="37">
        <v>13.1831</v>
      </c>
      <c r="J14" s="37">
        <v>12.0014</v>
      </c>
      <c r="K14" s="37">
        <v>13.0321</v>
      </c>
    </row>
    <row r="15" spans="1:11" x14ac:dyDescent="0.25">
      <c r="A15">
        <v>100000</v>
      </c>
      <c r="B15" s="16">
        <v>44568</v>
      </c>
      <c r="C15" s="16">
        <v>45839</v>
      </c>
      <c r="D15" s="37">
        <v>12.393800000000001</v>
      </c>
      <c r="E15" s="37">
        <v>12.3818</v>
      </c>
      <c r="F15" s="37">
        <v>12.388400000000001</v>
      </c>
      <c r="G15" s="37">
        <v>703.44752700000004</v>
      </c>
      <c r="H15" s="37">
        <v>12.0566</v>
      </c>
      <c r="I15" s="37">
        <v>13.1196</v>
      </c>
      <c r="J15" s="37">
        <v>11.929</v>
      </c>
      <c r="K15" s="37">
        <v>12.9918</v>
      </c>
    </row>
    <row r="16" spans="1:11" x14ac:dyDescent="0.25">
      <c r="A16" t="s">
        <v>102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A1:K11"/>
  <sheetViews>
    <sheetView workbookViewId="0">
      <selection sqref="A1:K11"/>
    </sheetView>
  </sheetViews>
  <sheetFormatPr defaultRowHeight="15" x14ac:dyDescent="0.25"/>
  <cols>
    <col min="2" max="2" width="17.85546875" style="16" bestFit="1" customWidth="1"/>
    <col min="3" max="3" width="23.5703125" style="16" bestFit="1" customWidth="1"/>
    <col min="4" max="4" width="11" style="37" bestFit="1" customWidth="1"/>
    <col min="5" max="5" width="10.5703125" style="37" bestFit="1" customWidth="1"/>
    <col min="6" max="6" width="13.7109375" style="37" bestFit="1" customWidth="1"/>
    <col min="7" max="7" width="15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103</v>
      </c>
      <c r="C3" s="16" t="s">
        <v>104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770100</v>
      </c>
      <c r="B6" s="16">
        <v>36708</v>
      </c>
      <c r="C6" s="16">
        <v>47849</v>
      </c>
      <c r="D6" s="37">
        <v>4.7615999999999996</v>
      </c>
      <c r="E6" s="37">
        <v>3.7797000000000001</v>
      </c>
      <c r="F6" s="37">
        <v>4.3685</v>
      </c>
      <c r="G6" s="37">
        <v>10192.951821999999</v>
      </c>
      <c r="H6" s="37">
        <v>3.7587999999999999</v>
      </c>
      <c r="I6" s="37">
        <v>4.8064999999999998</v>
      </c>
      <c r="J6" s="37">
        <v>3.8460000000000001</v>
      </c>
      <c r="K6" s="37">
        <v>4.8914</v>
      </c>
    </row>
    <row r="7" spans="1:11" x14ac:dyDescent="0.25">
      <c r="A7" t="s">
        <v>102</v>
      </c>
    </row>
    <row r="8" spans="1:11" x14ac:dyDescent="0.25">
      <c r="A8" t="s">
        <v>105</v>
      </c>
    </row>
    <row r="9" spans="1:11" x14ac:dyDescent="0.25">
      <c r="A9" t="s">
        <v>106</v>
      </c>
    </row>
    <row r="10" spans="1:11" x14ac:dyDescent="0.25">
      <c r="A10" t="s">
        <v>107</v>
      </c>
    </row>
    <row r="11" spans="1:11" x14ac:dyDescent="0.25">
      <c r="A11" t="s">
        <v>108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K27"/>
  <sheetViews>
    <sheetView workbookViewId="0">
      <selection sqref="A1:K27"/>
    </sheetView>
  </sheetViews>
  <sheetFormatPr defaultRowHeight="15" x14ac:dyDescent="0.25"/>
  <cols>
    <col min="2" max="2" width="17.85546875" style="16" bestFit="1" customWidth="1"/>
    <col min="3" max="3" width="23.5703125" style="16" bestFit="1" customWidth="1"/>
    <col min="4" max="5" width="11.5703125" style="37" bestFit="1" customWidth="1"/>
    <col min="6" max="6" width="13.7109375" style="37" bestFit="1" customWidth="1"/>
    <col min="7" max="7" width="14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111</v>
      </c>
      <c r="C3" s="16" t="s">
        <v>112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760199</v>
      </c>
      <c r="B6" s="16">
        <v>36722</v>
      </c>
      <c r="C6" s="16">
        <v>44788</v>
      </c>
      <c r="D6" s="37">
        <v>12.978199999999999</v>
      </c>
      <c r="E6" s="37">
        <v>12.845499999999999</v>
      </c>
      <c r="F6" s="37">
        <v>12.8706</v>
      </c>
      <c r="G6" s="37">
        <v>4020.0752859999998</v>
      </c>
      <c r="H6" s="37">
        <v>11.1271</v>
      </c>
      <c r="I6" s="37">
        <v>14.2896</v>
      </c>
      <c r="J6" s="37">
        <v>11.473800000000001</v>
      </c>
      <c r="K6" s="37">
        <v>14.660399999999999</v>
      </c>
    </row>
    <row r="7" spans="1:11" x14ac:dyDescent="0.25">
      <c r="A7">
        <v>760100</v>
      </c>
      <c r="B7" s="16">
        <v>36722</v>
      </c>
      <c r="C7" s="16">
        <v>45000</v>
      </c>
      <c r="D7" s="37">
        <v>7.06</v>
      </c>
      <c r="E7" s="37">
        <v>7.0166000000000004</v>
      </c>
      <c r="F7" s="37">
        <v>7.0354000000000001</v>
      </c>
      <c r="G7" s="37">
        <v>4011.5335759999998</v>
      </c>
      <c r="H7" s="37">
        <v>6.2964000000000002</v>
      </c>
      <c r="I7" s="37">
        <v>7.4059999999999997</v>
      </c>
      <c r="J7" s="37">
        <v>6.5740999999999996</v>
      </c>
      <c r="K7" s="37">
        <v>7.6921999999999997</v>
      </c>
    </row>
    <row r="8" spans="1:11" x14ac:dyDescent="0.25">
      <c r="A8">
        <v>760199</v>
      </c>
      <c r="B8" s="16">
        <v>36722</v>
      </c>
      <c r="C8" s="16">
        <v>45061</v>
      </c>
      <c r="D8" s="37">
        <v>7.0545999999999998</v>
      </c>
      <c r="E8" s="37">
        <v>7.0171000000000001</v>
      </c>
      <c r="F8" s="37">
        <v>7.0366</v>
      </c>
      <c r="G8" s="37">
        <v>3968.4035100000001</v>
      </c>
      <c r="H8" s="37">
        <v>6.4188000000000001</v>
      </c>
      <c r="I8" s="37">
        <v>7.2622999999999998</v>
      </c>
      <c r="J8" s="37">
        <v>6.7012</v>
      </c>
      <c r="K8" s="37">
        <v>7.5454999999999997</v>
      </c>
    </row>
    <row r="9" spans="1:11" x14ac:dyDescent="0.25">
      <c r="A9">
        <v>760199</v>
      </c>
      <c r="B9" s="16">
        <v>36722</v>
      </c>
      <c r="C9" s="16">
        <v>45519</v>
      </c>
      <c r="D9" s="37">
        <v>6.0928000000000004</v>
      </c>
      <c r="E9" s="37">
        <v>6.0587999999999997</v>
      </c>
      <c r="F9" s="37">
        <v>6.0731000000000002</v>
      </c>
      <c r="G9" s="37">
        <v>4054.4409529999998</v>
      </c>
      <c r="H9" s="37">
        <v>5.6843000000000004</v>
      </c>
      <c r="I9" s="37">
        <v>6.2690999999999999</v>
      </c>
      <c r="J9" s="37">
        <v>5.8136000000000001</v>
      </c>
      <c r="K9" s="37">
        <v>6.3985000000000003</v>
      </c>
    </row>
    <row r="10" spans="1:11" x14ac:dyDescent="0.25">
      <c r="A10">
        <v>760199</v>
      </c>
      <c r="B10" s="16">
        <v>36722</v>
      </c>
      <c r="C10" s="16">
        <v>45792</v>
      </c>
      <c r="D10" s="37">
        <v>5.8117000000000001</v>
      </c>
      <c r="E10" s="37">
        <v>5.7766000000000002</v>
      </c>
      <c r="F10" s="37">
        <v>5.7991000000000001</v>
      </c>
      <c r="G10" s="37">
        <v>4023.4156189999999</v>
      </c>
      <c r="H10" s="37">
        <v>5.4640000000000004</v>
      </c>
      <c r="I10" s="37">
        <v>6.0343</v>
      </c>
      <c r="J10" s="37">
        <v>5.5277000000000003</v>
      </c>
      <c r="K10" s="37">
        <v>6.0980999999999996</v>
      </c>
    </row>
    <row r="11" spans="1:11" x14ac:dyDescent="0.25">
      <c r="A11">
        <v>760199</v>
      </c>
      <c r="B11" s="16">
        <v>36722</v>
      </c>
      <c r="C11" s="16">
        <v>46249</v>
      </c>
      <c r="D11" s="37">
        <v>5.6211000000000002</v>
      </c>
      <c r="E11" s="37">
        <v>5.5900999999999996</v>
      </c>
      <c r="F11" s="37">
        <v>5.6069000000000004</v>
      </c>
      <c r="G11" s="37">
        <v>4114.8294079999996</v>
      </c>
      <c r="H11" s="37">
        <v>5.3036000000000003</v>
      </c>
      <c r="I11" s="37">
        <v>5.8292000000000002</v>
      </c>
      <c r="J11" s="37">
        <v>5.3343999999999996</v>
      </c>
      <c r="K11" s="37">
        <v>5.8602999999999996</v>
      </c>
    </row>
    <row r="12" spans="1:11" x14ac:dyDescent="0.25">
      <c r="A12">
        <v>760199</v>
      </c>
      <c r="B12" s="16">
        <v>36722</v>
      </c>
      <c r="C12" s="16">
        <v>46522</v>
      </c>
      <c r="D12" s="37">
        <v>5.6344000000000003</v>
      </c>
      <c r="E12" s="37">
        <v>5.609</v>
      </c>
      <c r="F12" s="37">
        <v>5.6218000000000004</v>
      </c>
      <c r="G12" s="37">
        <v>4064.708502</v>
      </c>
      <c r="H12" s="37">
        <v>5.3627000000000002</v>
      </c>
      <c r="I12" s="37">
        <v>5.8609</v>
      </c>
      <c r="J12" s="37">
        <v>5.3544999999999998</v>
      </c>
      <c r="K12" s="37">
        <v>5.8529</v>
      </c>
    </row>
    <row r="13" spans="1:11" x14ac:dyDescent="0.25">
      <c r="A13">
        <v>760199</v>
      </c>
      <c r="B13" s="16">
        <v>36722</v>
      </c>
      <c r="C13" s="16">
        <v>46980</v>
      </c>
      <c r="D13" s="37">
        <v>5.6355000000000004</v>
      </c>
      <c r="E13" s="37">
        <v>5.6029999999999998</v>
      </c>
      <c r="F13" s="37">
        <v>5.6185999999999998</v>
      </c>
      <c r="G13" s="37">
        <v>4137.1460159999997</v>
      </c>
      <c r="H13" s="37">
        <v>5.3765999999999998</v>
      </c>
      <c r="I13" s="37">
        <v>5.8323999999999998</v>
      </c>
      <c r="J13" s="37">
        <v>5.3624000000000001</v>
      </c>
      <c r="K13" s="37">
        <v>5.8185000000000002</v>
      </c>
    </row>
    <row r="14" spans="1:11" x14ac:dyDescent="0.25">
      <c r="A14">
        <v>760199</v>
      </c>
      <c r="B14" s="16">
        <v>36722</v>
      </c>
      <c r="C14" s="16">
        <v>47710</v>
      </c>
      <c r="D14" s="37">
        <v>5.6120000000000001</v>
      </c>
      <c r="E14" s="37">
        <v>5.5865</v>
      </c>
      <c r="F14" s="37">
        <v>5.5972999999999997</v>
      </c>
      <c r="G14" s="37">
        <v>4164.6520710000004</v>
      </c>
      <c r="H14" s="37">
        <v>5.391</v>
      </c>
      <c r="I14" s="37">
        <v>5.8041</v>
      </c>
      <c r="J14" s="37">
        <v>5.3598999999999997</v>
      </c>
      <c r="K14" s="37">
        <v>5.7732999999999999</v>
      </c>
    </row>
    <row r="15" spans="1:11" x14ac:dyDescent="0.25">
      <c r="A15">
        <v>760199</v>
      </c>
      <c r="B15" s="16">
        <v>36722</v>
      </c>
      <c r="C15" s="16">
        <v>48441</v>
      </c>
      <c r="D15" s="37">
        <v>5.6978</v>
      </c>
      <c r="E15" s="37">
        <v>5.6637000000000004</v>
      </c>
      <c r="F15" s="37">
        <v>5.6822999999999997</v>
      </c>
      <c r="G15" s="37">
        <v>4156.6312939999998</v>
      </c>
      <c r="H15" s="37">
        <v>5.484</v>
      </c>
      <c r="I15" s="37">
        <v>5.8667999999999996</v>
      </c>
      <c r="J15" s="37">
        <v>5.4604999999999997</v>
      </c>
      <c r="K15" s="37">
        <v>5.8434999999999997</v>
      </c>
    </row>
    <row r="16" spans="1:11" x14ac:dyDescent="0.25">
      <c r="A16">
        <v>760199</v>
      </c>
      <c r="B16" s="16">
        <v>36722</v>
      </c>
      <c r="C16" s="16">
        <v>49444</v>
      </c>
      <c r="D16" s="37">
        <v>5.7702</v>
      </c>
      <c r="E16" s="37">
        <v>5.7396000000000003</v>
      </c>
      <c r="F16" s="37">
        <v>5.7557</v>
      </c>
      <c r="G16" s="37">
        <v>4092.5684719999999</v>
      </c>
      <c r="H16" s="37">
        <v>5.5663</v>
      </c>
      <c r="I16" s="37">
        <v>5.9191000000000003</v>
      </c>
      <c r="J16" s="37">
        <v>5.5491000000000001</v>
      </c>
      <c r="K16" s="37">
        <v>5.9020000000000001</v>
      </c>
    </row>
    <row r="17" spans="1:11" x14ac:dyDescent="0.25">
      <c r="A17">
        <v>760199</v>
      </c>
      <c r="B17" s="16">
        <v>36722</v>
      </c>
      <c r="C17" s="16">
        <v>51363</v>
      </c>
      <c r="D17" s="37">
        <v>5.8253000000000004</v>
      </c>
      <c r="E17" s="37">
        <v>5.7735000000000003</v>
      </c>
      <c r="F17" s="37">
        <v>5.8017000000000003</v>
      </c>
      <c r="G17" s="37">
        <v>4151.4378710000001</v>
      </c>
      <c r="H17" s="37">
        <v>5.6239999999999997</v>
      </c>
      <c r="I17" s="37">
        <v>5.9428000000000001</v>
      </c>
      <c r="J17" s="37">
        <v>5.6121999999999996</v>
      </c>
      <c r="K17" s="37">
        <v>5.9310999999999998</v>
      </c>
    </row>
    <row r="18" spans="1:11" x14ac:dyDescent="0.25">
      <c r="A18">
        <v>760199</v>
      </c>
      <c r="B18" s="16">
        <v>36722</v>
      </c>
      <c r="C18" s="16">
        <v>53097</v>
      </c>
      <c r="D18" s="37">
        <v>5.9301000000000004</v>
      </c>
      <c r="E18" s="37">
        <v>5.8856000000000002</v>
      </c>
      <c r="F18" s="37">
        <v>5.9093999999999998</v>
      </c>
      <c r="G18" s="37">
        <v>4053.1565150000001</v>
      </c>
      <c r="H18" s="37">
        <v>5.7268999999999997</v>
      </c>
      <c r="I18" s="37">
        <v>6.0304000000000002</v>
      </c>
      <c r="J18" s="37">
        <v>5.7283999999999997</v>
      </c>
      <c r="K18" s="37">
        <v>6.0319000000000003</v>
      </c>
    </row>
    <row r="19" spans="1:11" x14ac:dyDescent="0.25">
      <c r="A19">
        <v>760199</v>
      </c>
      <c r="B19" s="16">
        <v>36722</v>
      </c>
      <c r="C19" s="16">
        <v>55015</v>
      </c>
      <c r="D19" s="37">
        <v>5.9649999999999999</v>
      </c>
      <c r="E19" s="37">
        <v>5.9279999999999999</v>
      </c>
      <c r="F19" s="37">
        <v>5.9463999999999997</v>
      </c>
      <c r="G19" s="37">
        <v>4096.366113</v>
      </c>
      <c r="H19" s="37">
        <v>5.7671999999999999</v>
      </c>
      <c r="I19" s="37">
        <v>6.0632999999999999</v>
      </c>
      <c r="J19" s="37">
        <v>5.7710999999999997</v>
      </c>
      <c r="K19" s="37">
        <v>6.0671999999999997</v>
      </c>
    </row>
    <row r="20" spans="1:11" x14ac:dyDescent="0.25">
      <c r="A20">
        <v>760199</v>
      </c>
      <c r="B20" s="16">
        <v>36722</v>
      </c>
      <c r="C20" s="16">
        <v>56749</v>
      </c>
      <c r="D20" s="37">
        <v>5.9691999999999998</v>
      </c>
      <c r="E20" s="37">
        <v>5.9307999999999996</v>
      </c>
      <c r="F20" s="37">
        <v>5.9499000000000004</v>
      </c>
      <c r="G20" s="37">
        <v>4038.7731990000002</v>
      </c>
      <c r="H20" s="37">
        <v>5.7729999999999997</v>
      </c>
      <c r="I20" s="37">
        <v>6.0646000000000004</v>
      </c>
      <c r="J20" s="37">
        <v>5.7781000000000002</v>
      </c>
      <c r="K20" s="37">
        <v>6.0697000000000001</v>
      </c>
    </row>
    <row r="21" spans="1:11" x14ac:dyDescent="0.25">
      <c r="A21">
        <v>760199</v>
      </c>
      <c r="B21" s="16">
        <v>36722</v>
      </c>
      <c r="C21" s="16">
        <v>58668</v>
      </c>
      <c r="D21" s="37">
        <v>5.9923000000000002</v>
      </c>
      <c r="E21" s="37">
        <v>5.9452999999999996</v>
      </c>
      <c r="F21" s="37">
        <v>5.9745999999999997</v>
      </c>
      <c r="G21" s="37">
        <v>4083.6728469999998</v>
      </c>
      <c r="H21" s="37">
        <v>5.8032000000000004</v>
      </c>
      <c r="I21" s="37">
        <v>6.0914999999999999</v>
      </c>
      <c r="J21" s="37">
        <v>5.8053999999999997</v>
      </c>
      <c r="K21" s="37">
        <v>6.0936000000000003</v>
      </c>
    </row>
    <row r="22" spans="1:11" x14ac:dyDescent="0.25">
      <c r="A22" t="s">
        <v>102</v>
      </c>
    </row>
    <row r="23" spans="1:11" x14ac:dyDescent="0.25">
      <c r="A23" t="s">
        <v>113</v>
      </c>
    </row>
    <row r="24" spans="1:11" x14ac:dyDescent="0.25">
      <c r="A24" t="s">
        <v>114</v>
      </c>
    </row>
    <row r="25" spans="1:11" x14ac:dyDescent="0.25">
      <c r="A25" t="s">
        <v>115</v>
      </c>
    </row>
    <row r="26" spans="1:11" x14ac:dyDescent="0.25">
      <c r="A26" t="s">
        <v>365</v>
      </c>
    </row>
    <row r="27" spans="1:11" x14ac:dyDescent="0.25">
      <c r="A27" t="s">
        <v>366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K25"/>
  <sheetViews>
    <sheetView workbookViewId="0">
      <selection sqref="A1:K25"/>
    </sheetView>
  </sheetViews>
  <sheetFormatPr defaultRowHeight="15" x14ac:dyDescent="0.25"/>
  <cols>
    <col min="2" max="2" width="17.85546875" style="16" bestFit="1" customWidth="1"/>
    <col min="3" max="3" width="23.42578125" style="16" bestFit="1" customWidth="1"/>
    <col min="4" max="5" width="11.5703125" style="37" bestFit="1" customWidth="1"/>
    <col min="6" max="6" width="13.7109375" style="37" bestFit="1" customWidth="1"/>
    <col min="7" max="7" width="14.28515625" style="37" bestFit="1" customWidth="1"/>
    <col min="8" max="8" width="18.5703125" style="37" bestFit="1" customWidth="1"/>
    <col min="9" max="9" width="12.42578125" style="37" bestFit="1" customWidth="1"/>
    <col min="10" max="10" width="13" style="37" bestFit="1" customWidth="1"/>
    <col min="11" max="11" width="13.5703125" style="37" bestFit="1" customWidth="1"/>
  </cols>
  <sheetData>
    <row r="1" spans="1:11" x14ac:dyDescent="0.25">
      <c r="A1" t="s">
        <v>87</v>
      </c>
      <c r="K1" s="16" t="s">
        <v>364</v>
      </c>
    </row>
    <row r="3" spans="1:11" x14ac:dyDescent="0.25">
      <c r="A3" t="s">
        <v>88</v>
      </c>
      <c r="C3" s="16" t="s">
        <v>116</v>
      </c>
    </row>
    <row r="4" spans="1:11" x14ac:dyDescent="0.25">
      <c r="A4" t="s">
        <v>90</v>
      </c>
      <c r="B4" s="16" t="s">
        <v>91</v>
      </c>
      <c r="C4" s="16" t="s">
        <v>92</v>
      </c>
      <c r="D4" s="37" t="s">
        <v>93</v>
      </c>
      <c r="E4" s="37" t="s">
        <v>94</v>
      </c>
      <c r="F4" s="37" t="s">
        <v>95</v>
      </c>
      <c r="G4" s="37" t="s">
        <v>96</v>
      </c>
      <c r="H4" s="37" t="s">
        <v>97</v>
      </c>
    </row>
    <row r="5" spans="1:11" x14ac:dyDescent="0.25">
      <c r="H5" s="37" t="s">
        <v>98</v>
      </c>
      <c r="I5" s="37" t="s">
        <v>99</v>
      </c>
      <c r="J5" s="37" t="s">
        <v>100</v>
      </c>
      <c r="K5" s="37" t="s">
        <v>101</v>
      </c>
    </row>
    <row r="6" spans="1:11" x14ac:dyDescent="0.25">
      <c r="A6">
        <v>950199</v>
      </c>
      <c r="B6" s="16">
        <v>40977</v>
      </c>
      <c r="C6" s="16">
        <v>44927</v>
      </c>
      <c r="D6" s="37">
        <v>13.58</v>
      </c>
      <c r="E6" s="37">
        <v>13.56</v>
      </c>
      <c r="F6" s="37">
        <v>13.57</v>
      </c>
      <c r="G6" s="37">
        <v>1028.8263179999999</v>
      </c>
      <c r="H6" s="37">
        <v>13.4023</v>
      </c>
      <c r="I6" s="37">
        <v>14.0928</v>
      </c>
      <c r="J6" s="37">
        <v>13.3872</v>
      </c>
      <c r="K6" s="37">
        <v>14.075699999999999</v>
      </c>
    </row>
    <row r="7" spans="1:11" x14ac:dyDescent="0.25">
      <c r="A7">
        <v>950199</v>
      </c>
      <c r="B7" s="16">
        <v>41649</v>
      </c>
      <c r="C7" s="16">
        <v>45658</v>
      </c>
      <c r="D7" s="37">
        <v>12.510999999999999</v>
      </c>
      <c r="E7" s="37">
        <v>12.4855</v>
      </c>
      <c r="F7" s="37">
        <v>12.4961</v>
      </c>
      <c r="G7" s="37">
        <v>995.89759400000003</v>
      </c>
      <c r="H7" s="37">
        <v>12.2384</v>
      </c>
      <c r="I7" s="37">
        <v>13.247999999999999</v>
      </c>
      <c r="J7" s="37">
        <v>12.091200000000001</v>
      </c>
      <c r="K7" s="37">
        <v>13.1007</v>
      </c>
    </row>
    <row r="8" spans="1:11" x14ac:dyDescent="0.25">
      <c r="A8">
        <v>950199</v>
      </c>
      <c r="B8" s="16">
        <v>42384</v>
      </c>
      <c r="C8" s="16">
        <v>46388</v>
      </c>
      <c r="D8" s="37">
        <v>12.519399999999999</v>
      </c>
      <c r="E8" s="37">
        <v>12.487500000000001</v>
      </c>
      <c r="F8" s="37">
        <v>12.502800000000001</v>
      </c>
      <c r="G8" s="37">
        <v>965.67038400000001</v>
      </c>
      <c r="H8" s="37">
        <v>12.1761</v>
      </c>
      <c r="I8" s="37">
        <v>13.212300000000001</v>
      </c>
      <c r="J8" s="37">
        <v>12.018599999999999</v>
      </c>
      <c r="K8" s="37">
        <v>13.055099999999999</v>
      </c>
    </row>
    <row r="9" spans="1:11" x14ac:dyDescent="0.25">
      <c r="A9">
        <v>950199</v>
      </c>
      <c r="B9" s="16">
        <v>43105</v>
      </c>
      <c r="C9" s="16">
        <v>47119</v>
      </c>
      <c r="D9" s="37">
        <v>12.654999999999999</v>
      </c>
      <c r="E9" s="37">
        <v>12.6393</v>
      </c>
      <c r="F9" s="37">
        <v>12.6465</v>
      </c>
      <c r="G9" s="37">
        <v>937.02733999999998</v>
      </c>
      <c r="H9" s="37">
        <v>12.29</v>
      </c>
      <c r="I9" s="37">
        <v>13.2606</v>
      </c>
      <c r="J9" s="37">
        <v>12.167299999999999</v>
      </c>
      <c r="K9" s="37">
        <v>13.138199999999999</v>
      </c>
    </row>
    <row r="10" spans="1:11" x14ac:dyDescent="0.25">
      <c r="A10">
        <v>950199</v>
      </c>
      <c r="B10" s="16">
        <v>43840</v>
      </c>
      <c r="C10" s="16">
        <v>47849</v>
      </c>
      <c r="D10" s="37">
        <v>12.7204</v>
      </c>
      <c r="E10" s="37">
        <v>12.692500000000001</v>
      </c>
      <c r="F10" s="37">
        <v>12.7056</v>
      </c>
      <c r="G10" s="37">
        <v>914.70323399999995</v>
      </c>
      <c r="H10" s="37">
        <v>12.3691</v>
      </c>
      <c r="I10" s="37">
        <v>13.2806</v>
      </c>
      <c r="J10" s="37">
        <v>12.2439</v>
      </c>
      <c r="K10" s="37">
        <v>13.1555</v>
      </c>
    </row>
    <row r="11" spans="1:11" x14ac:dyDescent="0.25">
      <c r="A11">
        <v>950199</v>
      </c>
      <c r="B11" s="16">
        <v>44568</v>
      </c>
      <c r="C11" s="16">
        <v>48580</v>
      </c>
      <c r="D11" s="37">
        <v>12.7407</v>
      </c>
      <c r="E11" s="37">
        <v>12.715999999999999</v>
      </c>
      <c r="F11" s="37">
        <v>12.7277</v>
      </c>
      <c r="G11" s="37">
        <v>897.50919099999999</v>
      </c>
      <c r="H11" s="37">
        <v>12.434100000000001</v>
      </c>
      <c r="I11" s="37">
        <v>13.2967</v>
      </c>
      <c r="J11" s="37">
        <v>12.287100000000001</v>
      </c>
      <c r="K11" s="37">
        <v>13.1495</v>
      </c>
    </row>
    <row r="12" spans="1:11" x14ac:dyDescent="0.25">
      <c r="A12" t="s">
        <v>117</v>
      </c>
    </row>
    <row r="13" spans="1:11" x14ac:dyDescent="0.25">
      <c r="A13" t="s">
        <v>118</v>
      </c>
    </row>
    <row r="14" spans="1:11" x14ac:dyDescent="0.25">
      <c r="A14" t="s">
        <v>117</v>
      </c>
    </row>
    <row r="15" spans="1:11" x14ac:dyDescent="0.25">
      <c r="A15" t="s">
        <v>119</v>
      </c>
    </row>
    <row r="16" spans="1:11" x14ac:dyDescent="0.25">
      <c r="A16" t="s">
        <v>120</v>
      </c>
    </row>
    <row r="17" spans="1:1" x14ac:dyDescent="0.25">
      <c r="A17" t="s">
        <v>121</v>
      </c>
    </row>
    <row r="18" spans="1:1" x14ac:dyDescent="0.25">
      <c r="A18" t="s">
        <v>122</v>
      </c>
    </row>
    <row r="19" spans="1:1" x14ac:dyDescent="0.25">
      <c r="A19" t="s">
        <v>123</v>
      </c>
    </row>
    <row r="20" spans="1:1" x14ac:dyDescent="0.25">
      <c r="A20" t="s">
        <v>124</v>
      </c>
    </row>
    <row r="21" spans="1:1" x14ac:dyDescent="0.25">
      <c r="A21" t="s">
        <v>125</v>
      </c>
    </row>
    <row r="22" spans="1:1" x14ac:dyDescent="0.25">
      <c r="A22" t="s">
        <v>126</v>
      </c>
    </row>
    <row r="23" spans="1:1" x14ac:dyDescent="0.25">
      <c r="A23" t="s">
        <v>117</v>
      </c>
    </row>
    <row r="24" spans="1:1" x14ac:dyDescent="0.25">
      <c r="A24" t="s">
        <v>127</v>
      </c>
    </row>
    <row r="25" spans="1:1" x14ac:dyDescent="0.25">
      <c r="A25" t="s">
        <v>128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"/>
  <dimension ref="A1:C937"/>
  <sheetViews>
    <sheetView workbookViewId="0">
      <selection activeCell="D31" sqref="D31"/>
    </sheetView>
  </sheetViews>
  <sheetFormatPr defaultRowHeight="15" x14ac:dyDescent="0.25"/>
  <cols>
    <col min="1" max="1" width="9.85546875" bestFit="1" customWidth="1"/>
    <col min="2" max="2" width="13.28515625" bestFit="1" customWidth="1"/>
    <col min="3" max="3" width="35.140625" bestFit="1" customWidth="1"/>
  </cols>
  <sheetData>
    <row r="1" spans="1:3" ht="15.75" thickBot="1" x14ac:dyDescent="0.3">
      <c r="A1" s="1" t="s">
        <v>0</v>
      </c>
      <c r="B1" s="2" t="s">
        <v>1</v>
      </c>
      <c r="C1" s="3" t="s">
        <v>2</v>
      </c>
    </row>
    <row r="2" spans="1:3" ht="15.75" thickBot="1" x14ac:dyDescent="0.3">
      <c r="A2" s="4">
        <v>36892</v>
      </c>
      <c r="B2" s="5" t="s">
        <v>3</v>
      </c>
      <c r="C2" s="6" t="s">
        <v>4</v>
      </c>
    </row>
    <row r="3" spans="1:3" ht="15.75" thickBot="1" x14ac:dyDescent="0.3">
      <c r="A3" s="4">
        <v>36948</v>
      </c>
      <c r="B3" s="5" t="s">
        <v>3</v>
      </c>
      <c r="C3" s="6" t="s">
        <v>5</v>
      </c>
    </row>
    <row r="4" spans="1:3" ht="15.75" thickBot="1" x14ac:dyDescent="0.3">
      <c r="A4" s="4">
        <v>36949</v>
      </c>
      <c r="B4" s="5" t="s">
        <v>6</v>
      </c>
      <c r="C4" s="6" t="s">
        <v>5</v>
      </c>
    </row>
    <row r="5" spans="1:3" ht="15.75" thickBot="1" x14ac:dyDescent="0.3">
      <c r="A5" s="4">
        <v>36994</v>
      </c>
      <c r="B5" s="5" t="s">
        <v>7</v>
      </c>
      <c r="C5" s="6" t="s">
        <v>8</v>
      </c>
    </row>
    <row r="6" spans="1:3" ht="15.75" thickBot="1" x14ac:dyDescent="0.3">
      <c r="A6" s="4">
        <v>37002</v>
      </c>
      <c r="B6" s="5" t="s">
        <v>9</v>
      </c>
      <c r="C6" s="6" t="s">
        <v>10</v>
      </c>
    </row>
    <row r="7" spans="1:3" ht="15.75" thickBot="1" x14ac:dyDescent="0.3">
      <c r="A7" s="4">
        <v>37012</v>
      </c>
      <c r="B7" s="5" t="s">
        <v>6</v>
      </c>
      <c r="C7" s="6" t="s">
        <v>11</v>
      </c>
    </row>
    <row r="8" spans="1:3" ht="15.75" thickBot="1" x14ac:dyDescent="0.3">
      <c r="A8" s="4">
        <v>37056</v>
      </c>
      <c r="B8" s="5" t="s">
        <v>12</v>
      </c>
      <c r="C8" s="6" t="s">
        <v>13</v>
      </c>
    </row>
    <row r="9" spans="1:3" ht="15.75" thickBot="1" x14ac:dyDescent="0.3">
      <c r="A9" s="4">
        <v>37141</v>
      </c>
      <c r="B9" s="5" t="s">
        <v>7</v>
      </c>
      <c r="C9" s="6" t="s">
        <v>14</v>
      </c>
    </row>
    <row r="10" spans="1:3" ht="15.75" thickBot="1" x14ac:dyDescent="0.3">
      <c r="A10" s="4">
        <v>37176</v>
      </c>
      <c r="B10" s="5" t="s">
        <v>7</v>
      </c>
      <c r="C10" s="6" t="s">
        <v>15</v>
      </c>
    </row>
    <row r="11" spans="1:3" ht="15.75" thickBot="1" x14ac:dyDescent="0.3">
      <c r="A11" s="4">
        <v>37197</v>
      </c>
      <c r="B11" s="5" t="s">
        <v>7</v>
      </c>
      <c r="C11" s="6" t="s">
        <v>16</v>
      </c>
    </row>
    <row r="12" spans="1:3" ht="15.75" thickBot="1" x14ac:dyDescent="0.3">
      <c r="A12" s="4">
        <v>37210</v>
      </c>
      <c r="B12" s="5" t="s">
        <v>12</v>
      </c>
      <c r="C12" s="6" t="s">
        <v>17</v>
      </c>
    </row>
    <row r="13" spans="1:3" ht="15.75" thickBot="1" x14ac:dyDescent="0.3">
      <c r="A13" s="4">
        <v>37250</v>
      </c>
      <c r="B13" s="5" t="s">
        <v>6</v>
      </c>
      <c r="C13" s="6" t="s">
        <v>18</v>
      </c>
    </row>
    <row r="14" spans="1:3" ht="15.75" thickBot="1" x14ac:dyDescent="0.3">
      <c r="A14" s="7">
        <v>37257</v>
      </c>
      <c r="B14" s="8" t="s">
        <v>6</v>
      </c>
      <c r="C14" s="9" t="s">
        <v>4</v>
      </c>
    </row>
    <row r="15" spans="1:3" ht="15.75" thickBot="1" x14ac:dyDescent="0.3">
      <c r="A15" s="10">
        <v>37298</v>
      </c>
      <c r="B15" s="11" t="s">
        <v>3</v>
      </c>
      <c r="C15" s="12" t="s">
        <v>5</v>
      </c>
    </row>
    <row r="16" spans="1:3" ht="15.75" thickBot="1" x14ac:dyDescent="0.3">
      <c r="A16" s="10">
        <v>37299</v>
      </c>
      <c r="B16" s="11" t="s">
        <v>6</v>
      </c>
      <c r="C16" s="12" t="s">
        <v>5</v>
      </c>
    </row>
    <row r="17" spans="1:3" ht="15.75" thickBot="1" x14ac:dyDescent="0.3">
      <c r="A17" s="10">
        <v>37344</v>
      </c>
      <c r="B17" s="11" t="s">
        <v>7</v>
      </c>
      <c r="C17" s="12" t="s">
        <v>8</v>
      </c>
    </row>
    <row r="18" spans="1:3" ht="15.75" thickBot="1" x14ac:dyDescent="0.3">
      <c r="A18" s="10">
        <v>37367</v>
      </c>
      <c r="B18" s="11" t="s">
        <v>19</v>
      </c>
      <c r="C18" s="12" t="s">
        <v>10</v>
      </c>
    </row>
    <row r="19" spans="1:3" ht="15.75" thickBot="1" x14ac:dyDescent="0.3">
      <c r="A19" s="10">
        <v>37377</v>
      </c>
      <c r="B19" s="11" t="s">
        <v>20</v>
      </c>
      <c r="C19" s="12" t="s">
        <v>11</v>
      </c>
    </row>
    <row r="20" spans="1:3" ht="15.75" thickBot="1" x14ac:dyDescent="0.3">
      <c r="A20" s="10">
        <v>37406</v>
      </c>
      <c r="B20" s="11" t="s">
        <v>12</v>
      </c>
      <c r="C20" s="12" t="s">
        <v>13</v>
      </c>
    </row>
    <row r="21" spans="1:3" ht="15.75" thickBot="1" x14ac:dyDescent="0.3">
      <c r="A21" s="10">
        <v>37506</v>
      </c>
      <c r="B21" s="11" t="s">
        <v>9</v>
      </c>
      <c r="C21" s="12" t="s">
        <v>14</v>
      </c>
    </row>
    <row r="22" spans="1:3" ht="15.75" thickBot="1" x14ac:dyDescent="0.3">
      <c r="A22" s="10">
        <v>37541</v>
      </c>
      <c r="B22" s="11" t="s">
        <v>9</v>
      </c>
      <c r="C22" s="12" t="s">
        <v>15</v>
      </c>
    </row>
    <row r="23" spans="1:3" ht="15.75" thickBot="1" x14ac:dyDescent="0.3">
      <c r="A23" s="10">
        <v>37562</v>
      </c>
      <c r="B23" s="11" t="s">
        <v>9</v>
      </c>
      <c r="C23" s="12" t="s">
        <v>16</v>
      </c>
    </row>
    <row r="24" spans="1:3" ht="15.75" thickBot="1" x14ac:dyDescent="0.3">
      <c r="A24" s="10">
        <v>37575</v>
      </c>
      <c r="B24" s="11" t="s">
        <v>7</v>
      </c>
      <c r="C24" s="12" t="s">
        <v>17</v>
      </c>
    </row>
    <row r="25" spans="1:3" ht="15.75" thickBot="1" x14ac:dyDescent="0.3">
      <c r="A25" s="10">
        <v>37615</v>
      </c>
      <c r="B25" s="11" t="s">
        <v>20</v>
      </c>
      <c r="C25" s="12" t="s">
        <v>18</v>
      </c>
    </row>
    <row r="26" spans="1:3" ht="15.75" thickBot="1" x14ac:dyDescent="0.3">
      <c r="A26" s="13">
        <v>37622</v>
      </c>
      <c r="B26" s="14" t="s">
        <v>20</v>
      </c>
      <c r="C26" s="15" t="s">
        <v>4</v>
      </c>
    </row>
    <row r="27" spans="1:3" ht="15.75" thickBot="1" x14ac:dyDescent="0.3">
      <c r="A27" s="4">
        <v>37683</v>
      </c>
      <c r="B27" s="5" t="s">
        <v>3</v>
      </c>
      <c r="C27" s="6" t="s">
        <v>5</v>
      </c>
    </row>
    <row r="28" spans="1:3" ht="15.75" thickBot="1" x14ac:dyDescent="0.3">
      <c r="A28" s="4">
        <v>37684</v>
      </c>
      <c r="B28" s="5" t="s">
        <v>6</v>
      </c>
      <c r="C28" s="6" t="s">
        <v>5</v>
      </c>
    </row>
    <row r="29" spans="1:3" ht="15.75" thickBot="1" x14ac:dyDescent="0.3">
      <c r="A29" s="4">
        <v>37729</v>
      </c>
      <c r="B29" s="5" t="s">
        <v>7</v>
      </c>
      <c r="C29" s="6" t="s">
        <v>8</v>
      </c>
    </row>
    <row r="30" spans="1:3" ht="15.75" thickBot="1" x14ac:dyDescent="0.3">
      <c r="A30" s="4">
        <v>37732</v>
      </c>
      <c r="B30" s="5" t="s">
        <v>3</v>
      </c>
      <c r="C30" s="6" t="s">
        <v>10</v>
      </c>
    </row>
    <row r="31" spans="1:3" ht="15.75" thickBot="1" x14ac:dyDescent="0.3">
      <c r="A31" s="4">
        <v>37742</v>
      </c>
      <c r="B31" s="5" t="s">
        <v>12</v>
      </c>
      <c r="C31" s="6" t="s">
        <v>11</v>
      </c>
    </row>
    <row r="32" spans="1:3" ht="15.75" thickBot="1" x14ac:dyDescent="0.3">
      <c r="A32" s="4">
        <v>37791</v>
      </c>
      <c r="B32" s="5" t="s">
        <v>12</v>
      </c>
      <c r="C32" s="6" t="s">
        <v>13</v>
      </c>
    </row>
    <row r="33" spans="1:3" ht="15.75" thickBot="1" x14ac:dyDescent="0.3">
      <c r="A33" s="4">
        <v>37871</v>
      </c>
      <c r="B33" s="5" t="s">
        <v>19</v>
      </c>
      <c r="C33" s="6" t="s">
        <v>14</v>
      </c>
    </row>
    <row r="34" spans="1:3" ht="15.75" thickBot="1" x14ac:dyDescent="0.3">
      <c r="A34" s="4">
        <v>37906</v>
      </c>
      <c r="B34" s="5" t="s">
        <v>19</v>
      </c>
      <c r="C34" s="6" t="s">
        <v>15</v>
      </c>
    </row>
    <row r="35" spans="1:3" ht="15.75" thickBot="1" x14ac:dyDescent="0.3">
      <c r="A35" s="4">
        <v>37927</v>
      </c>
      <c r="B35" s="5" t="s">
        <v>19</v>
      </c>
      <c r="C35" s="6" t="s">
        <v>16</v>
      </c>
    </row>
    <row r="36" spans="1:3" ht="15.75" thickBot="1" x14ac:dyDescent="0.3">
      <c r="A36" s="4">
        <v>37940</v>
      </c>
      <c r="B36" s="5" t="s">
        <v>9</v>
      </c>
      <c r="C36" s="6" t="s">
        <v>17</v>
      </c>
    </row>
    <row r="37" spans="1:3" ht="15.75" thickBot="1" x14ac:dyDescent="0.3">
      <c r="A37" s="4">
        <v>37980</v>
      </c>
      <c r="B37" s="5" t="s">
        <v>12</v>
      </c>
      <c r="C37" s="6" t="s">
        <v>18</v>
      </c>
    </row>
    <row r="38" spans="1:3" ht="15.75" thickBot="1" x14ac:dyDescent="0.3">
      <c r="A38" s="7">
        <v>37987</v>
      </c>
      <c r="B38" s="8" t="s">
        <v>12</v>
      </c>
      <c r="C38" s="9" t="s">
        <v>4</v>
      </c>
    </row>
    <row r="39" spans="1:3" ht="15.75" thickBot="1" x14ac:dyDescent="0.3">
      <c r="A39" s="10">
        <v>38040</v>
      </c>
      <c r="B39" s="11" t="s">
        <v>3</v>
      </c>
      <c r="C39" s="12" t="s">
        <v>5</v>
      </c>
    </row>
    <row r="40" spans="1:3" ht="15.75" thickBot="1" x14ac:dyDescent="0.3">
      <c r="A40" s="10">
        <v>38041</v>
      </c>
      <c r="B40" s="11" t="s">
        <v>6</v>
      </c>
      <c r="C40" s="12" t="s">
        <v>5</v>
      </c>
    </row>
    <row r="41" spans="1:3" ht="15.75" thickBot="1" x14ac:dyDescent="0.3">
      <c r="A41" s="10">
        <v>38086</v>
      </c>
      <c r="B41" s="11" t="s">
        <v>7</v>
      </c>
      <c r="C41" s="12" t="s">
        <v>8</v>
      </c>
    </row>
    <row r="42" spans="1:3" ht="15.75" thickBot="1" x14ac:dyDescent="0.3">
      <c r="A42" s="10">
        <v>38098</v>
      </c>
      <c r="B42" s="11" t="s">
        <v>20</v>
      </c>
      <c r="C42" s="12" t="s">
        <v>10</v>
      </c>
    </row>
    <row r="43" spans="1:3" ht="15.75" thickBot="1" x14ac:dyDescent="0.3">
      <c r="A43" s="10">
        <v>38108</v>
      </c>
      <c r="B43" s="11" t="s">
        <v>9</v>
      </c>
      <c r="C43" s="12" t="s">
        <v>11</v>
      </c>
    </row>
    <row r="44" spans="1:3" ht="15.75" thickBot="1" x14ac:dyDescent="0.3">
      <c r="A44" s="10">
        <v>38148</v>
      </c>
      <c r="B44" s="11" t="s">
        <v>12</v>
      </c>
      <c r="C44" s="12" t="s">
        <v>13</v>
      </c>
    </row>
    <row r="45" spans="1:3" ht="15.75" thickBot="1" x14ac:dyDescent="0.3">
      <c r="A45" s="10">
        <v>38237</v>
      </c>
      <c r="B45" s="11" t="s">
        <v>6</v>
      </c>
      <c r="C45" s="12" t="s">
        <v>14</v>
      </c>
    </row>
    <row r="46" spans="1:3" ht="15.75" thickBot="1" x14ac:dyDescent="0.3">
      <c r="A46" s="10">
        <v>38272</v>
      </c>
      <c r="B46" s="11" t="s">
        <v>6</v>
      </c>
      <c r="C46" s="12" t="s">
        <v>15</v>
      </c>
    </row>
    <row r="47" spans="1:3" ht="15.75" thickBot="1" x14ac:dyDescent="0.3">
      <c r="A47" s="10">
        <v>38293</v>
      </c>
      <c r="B47" s="11" t="s">
        <v>6</v>
      </c>
      <c r="C47" s="12" t="s">
        <v>16</v>
      </c>
    </row>
    <row r="48" spans="1:3" ht="15.75" thickBot="1" x14ac:dyDescent="0.3">
      <c r="A48" s="10">
        <v>38306</v>
      </c>
      <c r="B48" s="11" t="s">
        <v>3</v>
      </c>
      <c r="C48" s="12" t="s">
        <v>17</v>
      </c>
    </row>
    <row r="49" spans="1:3" ht="15.75" thickBot="1" x14ac:dyDescent="0.3">
      <c r="A49" s="10">
        <v>38346</v>
      </c>
      <c r="B49" s="11" t="s">
        <v>9</v>
      </c>
      <c r="C49" s="12" t="s">
        <v>18</v>
      </c>
    </row>
    <row r="50" spans="1:3" ht="15.75" thickBot="1" x14ac:dyDescent="0.3">
      <c r="A50" s="13">
        <v>38353</v>
      </c>
      <c r="B50" s="14" t="s">
        <v>9</v>
      </c>
      <c r="C50" s="15" t="s">
        <v>4</v>
      </c>
    </row>
    <row r="51" spans="1:3" ht="15.75" thickBot="1" x14ac:dyDescent="0.3">
      <c r="A51" s="4">
        <v>38390</v>
      </c>
      <c r="B51" s="5" t="s">
        <v>3</v>
      </c>
      <c r="C51" s="6" t="s">
        <v>5</v>
      </c>
    </row>
    <row r="52" spans="1:3" ht="15.75" thickBot="1" x14ac:dyDescent="0.3">
      <c r="A52" s="4">
        <v>38391</v>
      </c>
      <c r="B52" s="5" t="s">
        <v>6</v>
      </c>
      <c r="C52" s="6" t="s">
        <v>5</v>
      </c>
    </row>
    <row r="53" spans="1:3" ht="15.75" thickBot="1" x14ac:dyDescent="0.3">
      <c r="A53" s="4">
        <v>38436</v>
      </c>
      <c r="B53" s="5" t="s">
        <v>7</v>
      </c>
      <c r="C53" s="6" t="s">
        <v>8</v>
      </c>
    </row>
    <row r="54" spans="1:3" ht="15.75" thickBot="1" x14ac:dyDescent="0.3">
      <c r="A54" s="4">
        <v>38463</v>
      </c>
      <c r="B54" s="5" t="s">
        <v>12</v>
      </c>
      <c r="C54" s="6" t="s">
        <v>10</v>
      </c>
    </row>
    <row r="55" spans="1:3" ht="15.75" thickBot="1" x14ac:dyDescent="0.3">
      <c r="A55" s="4">
        <v>38473</v>
      </c>
      <c r="B55" s="5" t="s">
        <v>19</v>
      </c>
      <c r="C55" s="6" t="s">
        <v>11</v>
      </c>
    </row>
    <row r="56" spans="1:3" ht="15.75" thickBot="1" x14ac:dyDescent="0.3">
      <c r="A56" s="4">
        <v>38498</v>
      </c>
      <c r="B56" s="5" t="s">
        <v>12</v>
      </c>
      <c r="C56" s="6" t="s">
        <v>13</v>
      </c>
    </row>
    <row r="57" spans="1:3" ht="15.75" thickBot="1" x14ac:dyDescent="0.3">
      <c r="A57" s="4">
        <v>38602</v>
      </c>
      <c r="B57" s="5" t="s">
        <v>20</v>
      </c>
      <c r="C57" s="6" t="s">
        <v>14</v>
      </c>
    </row>
    <row r="58" spans="1:3" ht="15.75" thickBot="1" x14ac:dyDescent="0.3">
      <c r="A58" s="4">
        <v>38637</v>
      </c>
      <c r="B58" s="5" t="s">
        <v>20</v>
      </c>
      <c r="C58" s="6" t="s">
        <v>15</v>
      </c>
    </row>
    <row r="59" spans="1:3" ht="15.75" thickBot="1" x14ac:dyDescent="0.3">
      <c r="A59" s="4">
        <v>38658</v>
      </c>
      <c r="B59" s="5" t="s">
        <v>20</v>
      </c>
      <c r="C59" s="6" t="s">
        <v>16</v>
      </c>
    </row>
    <row r="60" spans="1:3" ht="15.75" thickBot="1" x14ac:dyDescent="0.3">
      <c r="A60" s="4">
        <v>38671</v>
      </c>
      <c r="B60" s="5" t="s">
        <v>6</v>
      </c>
      <c r="C60" s="6" t="s">
        <v>17</v>
      </c>
    </row>
    <row r="61" spans="1:3" ht="15.75" thickBot="1" x14ac:dyDescent="0.3">
      <c r="A61" s="4">
        <v>38711</v>
      </c>
      <c r="B61" s="5" t="s">
        <v>19</v>
      </c>
      <c r="C61" s="6" t="s">
        <v>18</v>
      </c>
    </row>
    <row r="62" spans="1:3" ht="15.75" thickBot="1" x14ac:dyDescent="0.3">
      <c r="A62" s="7">
        <v>38718</v>
      </c>
      <c r="B62" s="8" t="s">
        <v>19</v>
      </c>
      <c r="C62" s="9" t="s">
        <v>4</v>
      </c>
    </row>
    <row r="63" spans="1:3" ht="15.75" thickBot="1" x14ac:dyDescent="0.3">
      <c r="A63" s="10">
        <v>38775</v>
      </c>
      <c r="B63" s="11" t="s">
        <v>3</v>
      </c>
      <c r="C63" s="12" t="s">
        <v>5</v>
      </c>
    </row>
    <row r="64" spans="1:3" ht="15.75" thickBot="1" x14ac:dyDescent="0.3">
      <c r="A64" s="10">
        <v>38776</v>
      </c>
      <c r="B64" s="11" t="s">
        <v>6</v>
      </c>
      <c r="C64" s="12" t="s">
        <v>5</v>
      </c>
    </row>
    <row r="65" spans="1:3" ht="15.75" thickBot="1" x14ac:dyDescent="0.3">
      <c r="A65" s="10">
        <v>38821</v>
      </c>
      <c r="B65" s="11" t="s">
        <v>7</v>
      </c>
      <c r="C65" s="12" t="s">
        <v>8</v>
      </c>
    </row>
    <row r="66" spans="1:3" ht="15.75" thickBot="1" x14ac:dyDescent="0.3">
      <c r="A66" s="10">
        <v>38828</v>
      </c>
      <c r="B66" s="11" t="s">
        <v>7</v>
      </c>
      <c r="C66" s="12" t="s">
        <v>10</v>
      </c>
    </row>
    <row r="67" spans="1:3" ht="15.75" thickBot="1" x14ac:dyDescent="0.3">
      <c r="A67" s="10">
        <v>38838</v>
      </c>
      <c r="B67" s="11" t="s">
        <v>3</v>
      </c>
      <c r="C67" s="12" t="s">
        <v>11</v>
      </c>
    </row>
    <row r="68" spans="1:3" ht="15.75" thickBot="1" x14ac:dyDescent="0.3">
      <c r="A68" s="10">
        <v>38883</v>
      </c>
      <c r="B68" s="11" t="s">
        <v>12</v>
      </c>
      <c r="C68" s="12" t="s">
        <v>13</v>
      </c>
    </row>
    <row r="69" spans="1:3" ht="15.75" thickBot="1" x14ac:dyDescent="0.3">
      <c r="A69" s="10">
        <v>38967</v>
      </c>
      <c r="B69" s="11" t="s">
        <v>12</v>
      </c>
      <c r="C69" s="12" t="s">
        <v>14</v>
      </c>
    </row>
    <row r="70" spans="1:3" ht="15.75" thickBot="1" x14ac:dyDescent="0.3">
      <c r="A70" s="10">
        <v>39002</v>
      </c>
      <c r="B70" s="11" t="s">
        <v>12</v>
      </c>
      <c r="C70" s="12" t="s">
        <v>15</v>
      </c>
    </row>
    <row r="71" spans="1:3" ht="15.75" thickBot="1" x14ac:dyDescent="0.3">
      <c r="A71" s="10">
        <v>39023</v>
      </c>
      <c r="B71" s="11" t="s">
        <v>12</v>
      </c>
      <c r="C71" s="12" t="s">
        <v>16</v>
      </c>
    </row>
    <row r="72" spans="1:3" ht="15.75" thickBot="1" x14ac:dyDescent="0.3">
      <c r="A72" s="10">
        <v>39036</v>
      </c>
      <c r="B72" s="11" t="s">
        <v>20</v>
      </c>
      <c r="C72" s="12" t="s">
        <v>17</v>
      </c>
    </row>
    <row r="73" spans="1:3" ht="15.75" thickBot="1" x14ac:dyDescent="0.3">
      <c r="A73" s="10">
        <v>39076</v>
      </c>
      <c r="B73" s="11" t="s">
        <v>3</v>
      </c>
      <c r="C73" s="12" t="s">
        <v>18</v>
      </c>
    </row>
    <row r="74" spans="1:3" ht="15.75" thickBot="1" x14ac:dyDescent="0.3">
      <c r="A74" s="13">
        <v>39083</v>
      </c>
      <c r="B74" s="14" t="s">
        <v>3</v>
      </c>
      <c r="C74" s="15" t="s">
        <v>4</v>
      </c>
    </row>
    <row r="75" spans="1:3" ht="15.75" thickBot="1" x14ac:dyDescent="0.3">
      <c r="A75" s="4">
        <v>39132</v>
      </c>
      <c r="B75" s="5" t="s">
        <v>3</v>
      </c>
      <c r="C75" s="6" t="s">
        <v>5</v>
      </c>
    </row>
    <row r="76" spans="1:3" ht="15.75" thickBot="1" x14ac:dyDescent="0.3">
      <c r="A76" s="4">
        <v>39133</v>
      </c>
      <c r="B76" s="5" t="s">
        <v>6</v>
      </c>
      <c r="C76" s="6" t="s">
        <v>5</v>
      </c>
    </row>
    <row r="77" spans="1:3" ht="15.75" thickBot="1" x14ac:dyDescent="0.3">
      <c r="A77" s="4">
        <v>39178</v>
      </c>
      <c r="B77" s="5" t="s">
        <v>7</v>
      </c>
      <c r="C77" s="6" t="s">
        <v>8</v>
      </c>
    </row>
    <row r="78" spans="1:3" ht="15.75" thickBot="1" x14ac:dyDescent="0.3">
      <c r="A78" s="4">
        <v>39193</v>
      </c>
      <c r="B78" s="5" t="s">
        <v>9</v>
      </c>
      <c r="C78" s="6" t="s">
        <v>10</v>
      </c>
    </row>
    <row r="79" spans="1:3" ht="15.75" thickBot="1" x14ac:dyDescent="0.3">
      <c r="A79" s="4">
        <v>39203</v>
      </c>
      <c r="B79" s="5" t="s">
        <v>6</v>
      </c>
      <c r="C79" s="6" t="s">
        <v>11</v>
      </c>
    </row>
    <row r="80" spans="1:3" ht="15.75" thickBot="1" x14ac:dyDescent="0.3">
      <c r="A80" s="4">
        <v>39240</v>
      </c>
      <c r="B80" s="5" t="s">
        <v>12</v>
      </c>
      <c r="C80" s="6" t="s">
        <v>13</v>
      </c>
    </row>
    <row r="81" spans="1:3" ht="15.75" thickBot="1" x14ac:dyDescent="0.3">
      <c r="A81" s="4">
        <v>39332</v>
      </c>
      <c r="B81" s="5" t="s">
        <v>7</v>
      </c>
      <c r="C81" s="6" t="s">
        <v>14</v>
      </c>
    </row>
    <row r="82" spans="1:3" ht="15.75" thickBot="1" x14ac:dyDescent="0.3">
      <c r="A82" s="4">
        <v>39367</v>
      </c>
      <c r="B82" s="5" t="s">
        <v>7</v>
      </c>
      <c r="C82" s="6" t="s">
        <v>15</v>
      </c>
    </row>
    <row r="83" spans="1:3" ht="15.75" thickBot="1" x14ac:dyDescent="0.3">
      <c r="A83" s="4">
        <v>39388</v>
      </c>
      <c r="B83" s="5" t="s">
        <v>7</v>
      </c>
      <c r="C83" s="6" t="s">
        <v>16</v>
      </c>
    </row>
    <row r="84" spans="1:3" ht="15.75" thickBot="1" x14ac:dyDescent="0.3">
      <c r="A84" s="4">
        <v>39401</v>
      </c>
      <c r="B84" s="5" t="s">
        <v>12</v>
      </c>
      <c r="C84" s="6" t="s">
        <v>17</v>
      </c>
    </row>
    <row r="85" spans="1:3" ht="15.75" thickBot="1" x14ac:dyDescent="0.3">
      <c r="A85" s="4">
        <v>39441</v>
      </c>
      <c r="B85" s="5" t="s">
        <v>6</v>
      </c>
      <c r="C85" s="6" t="s">
        <v>18</v>
      </c>
    </row>
    <row r="86" spans="1:3" ht="15.75" thickBot="1" x14ac:dyDescent="0.3">
      <c r="A86" s="7">
        <v>39448</v>
      </c>
      <c r="B86" s="8" t="s">
        <v>6</v>
      </c>
      <c r="C86" s="9" t="s">
        <v>4</v>
      </c>
    </row>
    <row r="87" spans="1:3" ht="15.75" thickBot="1" x14ac:dyDescent="0.3">
      <c r="A87" s="10">
        <v>39482</v>
      </c>
      <c r="B87" s="11" t="s">
        <v>3</v>
      </c>
      <c r="C87" s="12" t="s">
        <v>5</v>
      </c>
    </row>
    <row r="88" spans="1:3" ht="15.75" thickBot="1" x14ac:dyDescent="0.3">
      <c r="A88" s="10">
        <v>39483</v>
      </c>
      <c r="B88" s="11" t="s">
        <v>6</v>
      </c>
      <c r="C88" s="12" t="s">
        <v>5</v>
      </c>
    </row>
    <row r="89" spans="1:3" ht="15.75" thickBot="1" x14ac:dyDescent="0.3">
      <c r="A89" s="10">
        <v>39528</v>
      </c>
      <c r="B89" s="11" t="s">
        <v>7</v>
      </c>
      <c r="C89" s="12" t="s">
        <v>8</v>
      </c>
    </row>
    <row r="90" spans="1:3" ht="15.75" thickBot="1" x14ac:dyDescent="0.3">
      <c r="A90" s="10">
        <v>39559</v>
      </c>
      <c r="B90" s="11" t="s">
        <v>3</v>
      </c>
      <c r="C90" s="12" t="s">
        <v>10</v>
      </c>
    </row>
    <row r="91" spans="1:3" ht="15.75" thickBot="1" x14ac:dyDescent="0.3">
      <c r="A91" s="10">
        <v>39569</v>
      </c>
      <c r="B91" s="11" t="s">
        <v>12</v>
      </c>
      <c r="C91" s="12" t="s">
        <v>11</v>
      </c>
    </row>
    <row r="92" spans="1:3" ht="15.75" thickBot="1" x14ac:dyDescent="0.3">
      <c r="A92" s="10">
        <v>39590</v>
      </c>
      <c r="B92" s="11" t="s">
        <v>12</v>
      </c>
      <c r="C92" s="12" t="s">
        <v>13</v>
      </c>
    </row>
    <row r="93" spans="1:3" ht="15.75" thickBot="1" x14ac:dyDescent="0.3">
      <c r="A93" s="10">
        <v>39698</v>
      </c>
      <c r="B93" s="11" t="s">
        <v>19</v>
      </c>
      <c r="C93" s="12" t="s">
        <v>14</v>
      </c>
    </row>
    <row r="94" spans="1:3" ht="15.75" thickBot="1" x14ac:dyDescent="0.3">
      <c r="A94" s="10">
        <v>39733</v>
      </c>
      <c r="B94" s="11" t="s">
        <v>19</v>
      </c>
      <c r="C94" s="12" t="s">
        <v>15</v>
      </c>
    </row>
    <row r="95" spans="1:3" ht="15.75" thickBot="1" x14ac:dyDescent="0.3">
      <c r="A95" s="10">
        <v>39754</v>
      </c>
      <c r="B95" s="11" t="s">
        <v>19</v>
      </c>
      <c r="C95" s="12" t="s">
        <v>16</v>
      </c>
    </row>
    <row r="96" spans="1:3" ht="15.75" thickBot="1" x14ac:dyDescent="0.3">
      <c r="A96" s="10">
        <v>39767</v>
      </c>
      <c r="B96" s="11" t="s">
        <v>9</v>
      </c>
      <c r="C96" s="12" t="s">
        <v>17</v>
      </c>
    </row>
    <row r="97" spans="1:3" ht="15.75" thickBot="1" x14ac:dyDescent="0.3">
      <c r="A97" s="10">
        <v>39807</v>
      </c>
      <c r="B97" s="11" t="s">
        <v>12</v>
      </c>
      <c r="C97" s="12" t="s">
        <v>18</v>
      </c>
    </row>
    <row r="98" spans="1:3" ht="15.75" thickBot="1" x14ac:dyDescent="0.3">
      <c r="A98" s="13">
        <v>39814</v>
      </c>
      <c r="B98" s="14" t="s">
        <v>12</v>
      </c>
      <c r="C98" s="15" t="s">
        <v>4</v>
      </c>
    </row>
    <row r="99" spans="1:3" ht="15.75" thickBot="1" x14ac:dyDescent="0.3">
      <c r="A99" s="4">
        <v>39867</v>
      </c>
      <c r="B99" s="5" t="s">
        <v>3</v>
      </c>
      <c r="C99" s="6" t="s">
        <v>5</v>
      </c>
    </row>
    <row r="100" spans="1:3" ht="15.75" thickBot="1" x14ac:dyDescent="0.3">
      <c r="A100" s="4">
        <v>39868</v>
      </c>
      <c r="B100" s="5" t="s">
        <v>6</v>
      </c>
      <c r="C100" s="6" t="s">
        <v>5</v>
      </c>
    </row>
    <row r="101" spans="1:3" ht="15.75" thickBot="1" x14ac:dyDescent="0.3">
      <c r="A101" s="4">
        <v>39913</v>
      </c>
      <c r="B101" s="5" t="s">
        <v>7</v>
      </c>
      <c r="C101" s="6" t="s">
        <v>8</v>
      </c>
    </row>
    <row r="102" spans="1:3" ht="15.75" thickBot="1" x14ac:dyDescent="0.3">
      <c r="A102" s="4">
        <v>39924</v>
      </c>
      <c r="B102" s="5" t="s">
        <v>6</v>
      </c>
      <c r="C102" s="6" t="s">
        <v>10</v>
      </c>
    </row>
    <row r="103" spans="1:3" ht="15.75" thickBot="1" x14ac:dyDescent="0.3">
      <c r="A103" s="4">
        <v>39934</v>
      </c>
      <c r="B103" s="5" t="s">
        <v>7</v>
      </c>
      <c r="C103" s="6" t="s">
        <v>11</v>
      </c>
    </row>
    <row r="104" spans="1:3" ht="15.75" thickBot="1" x14ac:dyDescent="0.3">
      <c r="A104" s="4">
        <v>39975</v>
      </c>
      <c r="B104" s="5" t="s">
        <v>12</v>
      </c>
      <c r="C104" s="6" t="s">
        <v>13</v>
      </c>
    </row>
    <row r="105" spans="1:3" ht="15.75" thickBot="1" x14ac:dyDescent="0.3">
      <c r="A105" s="4">
        <v>40063</v>
      </c>
      <c r="B105" s="5" t="s">
        <v>3</v>
      </c>
      <c r="C105" s="6" t="s">
        <v>14</v>
      </c>
    </row>
    <row r="106" spans="1:3" ht="15.75" thickBot="1" x14ac:dyDescent="0.3">
      <c r="A106" s="4">
        <v>40098</v>
      </c>
      <c r="B106" s="5" t="s">
        <v>3</v>
      </c>
      <c r="C106" s="6" t="s">
        <v>15</v>
      </c>
    </row>
    <row r="107" spans="1:3" ht="15.75" thickBot="1" x14ac:dyDescent="0.3">
      <c r="A107" s="4">
        <v>40119</v>
      </c>
      <c r="B107" s="5" t="s">
        <v>3</v>
      </c>
      <c r="C107" s="6" t="s">
        <v>16</v>
      </c>
    </row>
    <row r="108" spans="1:3" ht="15.75" thickBot="1" x14ac:dyDescent="0.3">
      <c r="A108" s="4">
        <v>40132</v>
      </c>
      <c r="B108" s="5" t="s">
        <v>19</v>
      </c>
      <c r="C108" s="6" t="s">
        <v>17</v>
      </c>
    </row>
    <row r="109" spans="1:3" ht="15.75" thickBot="1" x14ac:dyDescent="0.3">
      <c r="A109" s="4">
        <v>40172</v>
      </c>
      <c r="B109" s="5" t="s">
        <v>7</v>
      </c>
      <c r="C109" s="6" t="s">
        <v>18</v>
      </c>
    </row>
    <row r="110" spans="1:3" ht="15.75" thickBot="1" x14ac:dyDescent="0.3">
      <c r="A110" s="7">
        <v>40179</v>
      </c>
      <c r="B110" s="8" t="s">
        <v>7</v>
      </c>
      <c r="C110" s="9" t="s">
        <v>4</v>
      </c>
    </row>
    <row r="111" spans="1:3" ht="15.75" thickBot="1" x14ac:dyDescent="0.3">
      <c r="A111" s="10">
        <v>40224</v>
      </c>
      <c r="B111" s="11" t="s">
        <v>3</v>
      </c>
      <c r="C111" s="12" t="s">
        <v>5</v>
      </c>
    </row>
    <row r="112" spans="1:3" ht="15.75" thickBot="1" x14ac:dyDescent="0.3">
      <c r="A112" s="10">
        <v>40225</v>
      </c>
      <c r="B112" s="11" t="s">
        <v>6</v>
      </c>
      <c r="C112" s="12" t="s">
        <v>5</v>
      </c>
    </row>
    <row r="113" spans="1:3" ht="15.75" thickBot="1" x14ac:dyDescent="0.3">
      <c r="A113" s="10">
        <v>40270</v>
      </c>
      <c r="B113" s="11" t="s">
        <v>7</v>
      </c>
      <c r="C113" s="12" t="s">
        <v>8</v>
      </c>
    </row>
    <row r="114" spans="1:3" ht="15.75" thickBot="1" x14ac:dyDescent="0.3">
      <c r="A114" s="10">
        <v>40289</v>
      </c>
      <c r="B114" s="11" t="s">
        <v>20</v>
      </c>
      <c r="C114" s="12" t="s">
        <v>10</v>
      </c>
    </row>
    <row r="115" spans="1:3" ht="15.75" thickBot="1" x14ac:dyDescent="0.3">
      <c r="A115" s="10">
        <v>40299</v>
      </c>
      <c r="B115" s="11" t="s">
        <v>9</v>
      </c>
      <c r="C115" s="12" t="s">
        <v>11</v>
      </c>
    </row>
    <row r="116" spans="1:3" ht="15.75" thickBot="1" x14ac:dyDescent="0.3">
      <c r="A116" s="10">
        <v>40332</v>
      </c>
      <c r="B116" s="11" t="s">
        <v>12</v>
      </c>
      <c r="C116" s="12" t="s">
        <v>13</v>
      </c>
    </row>
    <row r="117" spans="1:3" ht="15.75" thickBot="1" x14ac:dyDescent="0.3">
      <c r="A117" s="10">
        <v>40428</v>
      </c>
      <c r="B117" s="11" t="s">
        <v>6</v>
      </c>
      <c r="C117" s="12" t="s">
        <v>14</v>
      </c>
    </row>
    <row r="118" spans="1:3" ht="15.75" thickBot="1" x14ac:dyDescent="0.3">
      <c r="A118" s="10">
        <v>40463</v>
      </c>
      <c r="B118" s="11" t="s">
        <v>6</v>
      </c>
      <c r="C118" s="12" t="s">
        <v>15</v>
      </c>
    </row>
    <row r="119" spans="1:3" ht="15.75" thickBot="1" x14ac:dyDescent="0.3">
      <c r="A119" s="10">
        <v>40484</v>
      </c>
      <c r="B119" s="11" t="s">
        <v>6</v>
      </c>
      <c r="C119" s="12" t="s">
        <v>16</v>
      </c>
    </row>
    <row r="120" spans="1:3" ht="15.75" thickBot="1" x14ac:dyDescent="0.3">
      <c r="A120" s="10">
        <v>40497</v>
      </c>
      <c r="B120" s="11" t="s">
        <v>3</v>
      </c>
      <c r="C120" s="12" t="s">
        <v>17</v>
      </c>
    </row>
    <row r="121" spans="1:3" ht="15.75" thickBot="1" x14ac:dyDescent="0.3">
      <c r="A121" s="10">
        <v>40537</v>
      </c>
      <c r="B121" s="11" t="s">
        <v>9</v>
      </c>
      <c r="C121" s="12" t="s">
        <v>18</v>
      </c>
    </row>
    <row r="122" spans="1:3" ht="15.75" thickBot="1" x14ac:dyDescent="0.3">
      <c r="A122" s="13">
        <v>40544</v>
      </c>
      <c r="B122" s="14" t="s">
        <v>9</v>
      </c>
      <c r="C122" s="15" t="s">
        <v>4</v>
      </c>
    </row>
    <row r="123" spans="1:3" ht="15.75" thickBot="1" x14ac:dyDescent="0.3">
      <c r="A123" s="4">
        <v>40609</v>
      </c>
      <c r="B123" s="5" t="s">
        <v>3</v>
      </c>
      <c r="C123" s="6" t="s">
        <v>5</v>
      </c>
    </row>
    <row r="124" spans="1:3" ht="15.75" thickBot="1" x14ac:dyDescent="0.3">
      <c r="A124" s="4">
        <v>40610</v>
      </c>
      <c r="B124" s="5" t="s">
        <v>6</v>
      </c>
      <c r="C124" s="6" t="s">
        <v>5</v>
      </c>
    </row>
    <row r="125" spans="1:3" ht="15.75" thickBot="1" x14ac:dyDescent="0.3">
      <c r="A125" s="4">
        <v>40654</v>
      </c>
      <c r="B125" s="5" t="s">
        <v>12</v>
      </c>
      <c r="C125" s="6" t="s">
        <v>8</v>
      </c>
    </row>
    <row r="126" spans="1:3" ht="15.75" thickBot="1" x14ac:dyDescent="0.3">
      <c r="A126" s="4">
        <v>40655</v>
      </c>
      <c r="B126" s="5" t="s">
        <v>7</v>
      </c>
      <c r="C126" s="6" t="s">
        <v>10</v>
      </c>
    </row>
    <row r="127" spans="1:3" ht="15.75" thickBot="1" x14ac:dyDescent="0.3">
      <c r="A127" s="4">
        <v>40664</v>
      </c>
      <c r="B127" s="5" t="s">
        <v>19</v>
      </c>
      <c r="C127" s="6" t="s">
        <v>11</v>
      </c>
    </row>
    <row r="128" spans="1:3" ht="15.75" thickBot="1" x14ac:dyDescent="0.3">
      <c r="A128" s="4">
        <v>40717</v>
      </c>
      <c r="B128" s="5" t="s">
        <v>12</v>
      </c>
      <c r="C128" s="6" t="s">
        <v>13</v>
      </c>
    </row>
    <row r="129" spans="1:3" ht="15.75" thickBot="1" x14ac:dyDescent="0.3">
      <c r="A129" s="4">
        <v>40793</v>
      </c>
      <c r="B129" s="5" t="s">
        <v>20</v>
      </c>
      <c r="C129" s="6" t="s">
        <v>14</v>
      </c>
    </row>
    <row r="130" spans="1:3" ht="15.75" thickBot="1" x14ac:dyDescent="0.3">
      <c r="A130" s="4">
        <v>40828</v>
      </c>
      <c r="B130" s="5" t="s">
        <v>20</v>
      </c>
      <c r="C130" s="6" t="s">
        <v>15</v>
      </c>
    </row>
    <row r="131" spans="1:3" ht="15.75" thickBot="1" x14ac:dyDescent="0.3">
      <c r="A131" s="4">
        <v>40849</v>
      </c>
      <c r="B131" s="5" t="s">
        <v>20</v>
      </c>
      <c r="C131" s="6" t="s">
        <v>16</v>
      </c>
    </row>
    <row r="132" spans="1:3" ht="15.75" thickBot="1" x14ac:dyDescent="0.3">
      <c r="A132" s="4">
        <v>40862</v>
      </c>
      <c r="B132" s="5" t="s">
        <v>6</v>
      </c>
      <c r="C132" s="6" t="s">
        <v>17</v>
      </c>
    </row>
    <row r="133" spans="1:3" ht="15.75" thickBot="1" x14ac:dyDescent="0.3">
      <c r="A133" s="4">
        <v>40902</v>
      </c>
      <c r="B133" s="5" t="s">
        <v>19</v>
      </c>
      <c r="C133" s="6" t="s">
        <v>18</v>
      </c>
    </row>
    <row r="134" spans="1:3" ht="15.75" thickBot="1" x14ac:dyDescent="0.3">
      <c r="A134" s="7">
        <v>40909</v>
      </c>
      <c r="B134" s="8" t="s">
        <v>19</v>
      </c>
      <c r="C134" s="9" t="s">
        <v>4</v>
      </c>
    </row>
    <row r="135" spans="1:3" ht="15.75" thickBot="1" x14ac:dyDescent="0.3">
      <c r="A135" s="10">
        <v>40959</v>
      </c>
      <c r="B135" s="11" t="s">
        <v>3</v>
      </c>
      <c r="C135" s="12" t="s">
        <v>5</v>
      </c>
    </row>
    <row r="136" spans="1:3" ht="15.75" thickBot="1" x14ac:dyDescent="0.3">
      <c r="A136" s="10">
        <v>40960</v>
      </c>
      <c r="B136" s="11" t="s">
        <v>6</v>
      </c>
      <c r="C136" s="12" t="s">
        <v>5</v>
      </c>
    </row>
    <row r="137" spans="1:3" ht="15.75" thickBot="1" x14ac:dyDescent="0.3">
      <c r="A137" s="10">
        <v>41005</v>
      </c>
      <c r="B137" s="11" t="s">
        <v>7</v>
      </c>
      <c r="C137" s="12" t="s">
        <v>8</v>
      </c>
    </row>
    <row r="138" spans="1:3" ht="15.75" thickBot="1" x14ac:dyDescent="0.3">
      <c r="A138" s="10">
        <v>41020</v>
      </c>
      <c r="B138" s="11" t="s">
        <v>9</v>
      </c>
      <c r="C138" s="12" t="s">
        <v>10</v>
      </c>
    </row>
    <row r="139" spans="1:3" ht="15.75" thickBot="1" x14ac:dyDescent="0.3">
      <c r="A139" s="10">
        <v>41030</v>
      </c>
      <c r="B139" s="11" t="s">
        <v>6</v>
      </c>
      <c r="C139" s="12" t="s">
        <v>11</v>
      </c>
    </row>
    <row r="140" spans="1:3" ht="15.75" thickBot="1" x14ac:dyDescent="0.3">
      <c r="A140" s="10">
        <v>41067</v>
      </c>
      <c r="B140" s="11" t="s">
        <v>12</v>
      </c>
      <c r="C140" s="12" t="s">
        <v>13</v>
      </c>
    </row>
    <row r="141" spans="1:3" ht="15.75" thickBot="1" x14ac:dyDescent="0.3">
      <c r="A141" s="10">
        <v>41159</v>
      </c>
      <c r="B141" s="11" t="s">
        <v>7</v>
      </c>
      <c r="C141" s="12" t="s">
        <v>14</v>
      </c>
    </row>
    <row r="142" spans="1:3" ht="15.75" thickBot="1" x14ac:dyDescent="0.3">
      <c r="A142" s="10">
        <v>41194</v>
      </c>
      <c r="B142" s="11" t="s">
        <v>7</v>
      </c>
      <c r="C142" s="12" t="s">
        <v>15</v>
      </c>
    </row>
    <row r="143" spans="1:3" ht="15.75" thickBot="1" x14ac:dyDescent="0.3">
      <c r="A143" s="10">
        <v>41215</v>
      </c>
      <c r="B143" s="11" t="s">
        <v>7</v>
      </c>
      <c r="C143" s="12" t="s">
        <v>16</v>
      </c>
    </row>
    <row r="144" spans="1:3" ht="15.75" thickBot="1" x14ac:dyDescent="0.3">
      <c r="A144" s="10">
        <v>41228</v>
      </c>
      <c r="B144" s="11" t="s">
        <v>12</v>
      </c>
      <c r="C144" s="12" t="s">
        <v>17</v>
      </c>
    </row>
    <row r="145" spans="1:3" ht="15.75" thickBot="1" x14ac:dyDescent="0.3">
      <c r="A145" s="10">
        <v>41268</v>
      </c>
      <c r="B145" s="11" t="s">
        <v>6</v>
      </c>
      <c r="C145" s="12" t="s">
        <v>18</v>
      </c>
    </row>
    <row r="146" spans="1:3" ht="15.75" thickBot="1" x14ac:dyDescent="0.3">
      <c r="A146" s="13">
        <v>41275</v>
      </c>
      <c r="B146" s="14" t="s">
        <v>6</v>
      </c>
      <c r="C146" s="15" t="s">
        <v>4</v>
      </c>
    </row>
    <row r="147" spans="1:3" ht="15.75" thickBot="1" x14ac:dyDescent="0.3">
      <c r="A147" s="4">
        <v>41316</v>
      </c>
      <c r="B147" s="5" t="s">
        <v>3</v>
      </c>
      <c r="C147" s="6" t="s">
        <v>5</v>
      </c>
    </row>
    <row r="148" spans="1:3" ht="15.75" thickBot="1" x14ac:dyDescent="0.3">
      <c r="A148" s="4">
        <v>41317</v>
      </c>
      <c r="B148" s="5" t="s">
        <v>6</v>
      </c>
      <c r="C148" s="6" t="s">
        <v>5</v>
      </c>
    </row>
    <row r="149" spans="1:3" ht="15.75" thickBot="1" x14ac:dyDescent="0.3">
      <c r="A149" s="4">
        <v>41362</v>
      </c>
      <c r="B149" s="5" t="s">
        <v>7</v>
      </c>
      <c r="C149" s="6" t="s">
        <v>8</v>
      </c>
    </row>
    <row r="150" spans="1:3" ht="15.75" thickBot="1" x14ac:dyDescent="0.3">
      <c r="A150" s="4">
        <v>41385</v>
      </c>
      <c r="B150" s="5" t="s">
        <v>19</v>
      </c>
      <c r="C150" s="6" t="s">
        <v>10</v>
      </c>
    </row>
    <row r="151" spans="1:3" ht="15.75" thickBot="1" x14ac:dyDescent="0.3">
      <c r="A151" s="4">
        <v>41395</v>
      </c>
      <c r="B151" s="5" t="s">
        <v>20</v>
      </c>
      <c r="C151" s="6" t="s">
        <v>11</v>
      </c>
    </row>
    <row r="152" spans="1:3" ht="15.75" thickBot="1" x14ac:dyDescent="0.3">
      <c r="A152" s="4">
        <v>41424</v>
      </c>
      <c r="B152" s="5" t="s">
        <v>12</v>
      </c>
      <c r="C152" s="6" t="s">
        <v>13</v>
      </c>
    </row>
    <row r="153" spans="1:3" ht="15.75" thickBot="1" x14ac:dyDescent="0.3">
      <c r="A153" s="4">
        <v>41524</v>
      </c>
      <c r="B153" s="5" t="s">
        <v>9</v>
      </c>
      <c r="C153" s="6" t="s">
        <v>14</v>
      </c>
    </row>
    <row r="154" spans="1:3" ht="15.75" thickBot="1" x14ac:dyDescent="0.3">
      <c r="A154" s="4">
        <v>41559</v>
      </c>
      <c r="B154" s="5" t="s">
        <v>9</v>
      </c>
      <c r="C154" s="6" t="s">
        <v>15</v>
      </c>
    </row>
    <row r="155" spans="1:3" ht="15.75" thickBot="1" x14ac:dyDescent="0.3">
      <c r="A155" s="4">
        <v>41580</v>
      </c>
      <c r="B155" s="5" t="s">
        <v>9</v>
      </c>
      <c r="C155" s="6" t="s">
        <v>16</v>
      </c>
    </row>
    <row r="156" spans="1:3" ht="15.75" thickBot="1" x14ac:dyDescent="0.3">
      <c r="A156" s="4">
        <v>41593</v>
      </c>
      <c r="B156" s="5" t="s">
        <v>7</v>
      </c>
      <c r="C156" s="6" t="s">
        <v>17</v>
      </c>
    </row>
    <row r="157" spans="1:3" ht="15.75" thickBot="1" x14ac:dyDescent="0.3">
      <c r="A157" s="4">
        <v>41633</v>
      </c>
      <c r="B157" s="5" t="s">
        <v>20</v>
      </c>
      <c r="C157" s="6" t="s">
        <v>18</v>
      </c>
    </row>
    <row r="158" spans="1:3" ht="15.75" thickBot="1" x14ac:dyDescent="0.3">
      <c r="A158" s="7">
        <v>41640</v>
      </c>
      <c r="B158" s="8" t="s">
        <v>20</v>
      </c>
      <c r="C158" s="9" t="s">
        <v>4</v>
      </c>
    </row>
    <row r="159" spans="1:3" ht="15.75" thickBot="1" x14ac:dyDescent="0.3">
      <c r="A159" s="10">
        <v>41701</v>
      </c>
      <c r="B159" s="11" t="s">
        <v>3</v>
      </c>
      <c r="C159" s="12" t="s">
        <v>5</v>
      </c>
    </row>
    <row r="160" spans="1:3" ht="15.75" thickBot="1" x14ac:dyDescent="0.3">
      <c r="A160" s="10">
        <v>41702</v>
      </c>
      <c r="B160" s="11" t="s">
        <v>6</v>
      </c>
      <c r="C160" s="12" t="s">
        <v>5</v>
      </c>
    </row>
    <row r="161" spans="1:3" ht="15.75" thickBot="1" x14ac:dyDescent="0.3">
      <c r="A161" s="10">
        <v>41747</v>
      </c>
      <c r="B161" s="11" t="s">
        <v>7</v>
      </c>
      <c r="C161" s="12" t="s">
        <v>8</v>
      </c>
    </row>
    <row r="162" spans="1:3" ht="15.75" thickBot="1" x14ac:dyDescent="0.3">
      <c r="A162" s="10">
        <v>41750</v>
      </c>
      <c r="B162" s="11" t="s">
        <v>3</v>
      </c>
      <c r="C162" s="12" t="s">
        <v>10</v>
      </c>
    </row>
    <row r="163" spans="1:3" ht="15.75" thickBot="1" x14ac:dyDescent="0.3">
      <c r="A163" s="10">
        <v>41760</v>
      </c>
      <c r="B163" s="11" t="s">
        <v>12</v>
      </c>
      <c r="C163" s="12" t="s">
        <v>11</v>
      </c>
    </row>
    <row r="164" spans="1:3" ht="15.75" thickBot="1" x14ac:dyDescent="0.3">
      <c r="A164" s="10">
        <v>41809</v>
      </c>
      <c r="B164" s="11" t="s">
        <v>12</v>
      </c>
      <c r="C164" s="12" t="s">
        <v>13</v>
      </c>
    </row>
    <row r="165" spans="1:3" ht="15.75" thickBot="1" x14ac:dyDescent="0.3">
      <c r="A165" s="10">
        <v>41889</v>
      </c>
      <c r="B165" s="11" t="s">
        <v>19</v>
      </c>
      <c r="C165" s="12" t="s">
        <v>14</v>
      </c>
    </row>
    <row r="166" spans="1:3" ht="15.75" thickBot="1" x14ac:dyDescent="0.3">
      <c r="A166" s="10">
        <v>41924</v>
      </c>
      <c r="B166" s="11" t="s">
        <v>19</v>
      </c>
      <c r="C166" s="12" t="s">
        <v>15</v>
      </c>
    </row>
    <row r="167" spans="1:3" ht="15.75" thickBot="1" x14ac:dyDescent="0.3">
      <c r="A167" s="10">
        <v>41945</v>
      </c>
      <c r="B167" s="11" t="s">
        <v>19</v>
      </c>
      <c r="C167" s="12" t="s">
        <v>16</v>
      </c>
    </row>
    <row r="168" spans="1:3" ht="15.75" thickBot="1" x14ac:dyDescent="0.3">
      <c r="A168" s="10">
        <v>41958</v>
      </c>
      <c r="B168" s="11" t="s">
        <v>9</v>
      </c>
      <c r="C168" s="12" t="s">
        <v>17</v>
      </c>
    </row>
    <row r="169" spans="1:3" ht="15.75" thickBot="1" x14ac:dyDescent="0.3">
      <c r="A169" s="10">
        <v>41998</v>
      </c>
      <c r="B169" s="11" t="s">
        <v>12</v>
      </c>
      <c r="C169" s="12" t="s">
        <v>18</v>
      </c>
    </row>
    <row r="170" spans="1:3" ht="15.75" thickBot="1" x14ac:dyDescent="0.3">
      <c r="A170" s="13">
        <v>42005</v>
      </c>
      <c r="B170" s="14" t="s">
        <v>12</v>
      </c>
      <c r="C170" s="15" t="s">
        <v>4</v>
      </c>
    </row>
    <row r="171" spans="1:3" ht="15.75" thickBot="1" x14ac:dyDescent="0.3">
      <c r="A171" s="4">
        <v>42051</v>
      </c>
      <c r="B171" s="5" t="s">
        <v>3</v>
      </c>
      <c r="C171" s="6" t="s">
        <v>5</v>
      </c>
    </row>
    <row r="172" spans="1:3" ht="15.75" thickBot="1" x14ac:dyDescent="0.3">
      <c r="A172" s="4">
        <v>42052</v>
      </c>
      <c r="B172" s="5" t="s">
        <v>6</v>
      </c>
      <c r="C172" s="6" t="s">
        <v>5</v>
      </c>
    </row>
    <row r="173" spans="1:3" ht="15.75" thickBot="1" x14ac:dyDescent="0.3">
      <c r="A173" s="4">
        <v>42097</v>
      </c>
      <c r="B173" s="5" t="s">
        <v>7</v>
      </c>
      <c r="C173" s="6" t="s">
        <v>8</v>
      </c>
    </row>
    <row r="174" spans="1:3" ht="15.75" thickBot="1" x14ac:dyDescent="0.3">
      <c r="A174" s="4">
        <v>42115</v>
      </c>
      <c r="B174" s="5" t="s">
        <v>6</v>
      </c>
      <c r="C174" s="6" t="s">
        <v>10</v>
      </c>
    </row>
    <row r="175" spans="1:3" ht="15.75" thickBot="1" x14ac:dyDescent="0.3">
      <c r="A175" s="4">
        <v>42125</v>
      </c>
      <c r="B175" s="5" t="s">
        <v>7</v>
      </c>
      <c r="C175" s="6" t="s">
        <v>11</v>
      </c>
    </row>
    <row r="176" spans="1:3" ht="15.75" thickBot="1" x14ac:dyDescent="0.3">
      <c r="A176" s="4">
        <v>42159</v>
      </c>
      <c r="B176" s="5" t="s">
        <v>12</v>
      </c>
      <c r="C176" s="6" t="s">
        <v>13</v>
      </c>
    </row>
    <row r="177" spans="1:3" ht="15.75" thickBot="1" x14ac:dyDescent="0.3">
      <c r="A177" s="4">
        <v>42254</v>
      </c>
      <c r="B177" s="5" t="s">
        <v>3</v>
      </c>
      <c r="C177" s="6" t="s">
        <v>14</v>
      </c>
    </row>
    <row r="178" spans="1:3" ht="15.75" thickBot="1" x14ac:dyDescent="0.3">
      <c r="A178" s="4">
        <v>42289</v>
      </c>
      <c r="B178" s="5" t="s">
        <v>3</v>
      </c>
      <c r="C178" s="6" t="s">
        <v>15</v>
      </c>
    </row>
    <row r="179" spans="1:3" ht="15.75" thickBot="1" x14ac:dyDescent="0.3">
      <c r="A179" s="4">
        <v>42310</v>
      </c>
      <c r="B179" s="5" t="s">
        <v>3</v>
      </c>
      <c r="C179" s="6" t="s">
        <v>16</v>
      </c>
    </row>
    <row r="180" spans="1:3" ht="15.75" thickBot="1" x14ac:dyDescent="0.3">
      <c r="A180" s="4">
        <v>42323</v>
      </c>
      <c r="B180" s="5" t="s">
        <v>19</v>
      </c>
      <c r="C180" s="6" t="s">
        <v>17</v>
      </c>
    </row>
    <row r="181" spans="1:3" ht="15.75" thickBot="1" x14ac:dyDescent="0.3">
      <c r="A181" s="4">
        <v>42363</v>
      </c>
      <c r="B181" s="5" t="s">
        <v>7</v>
      </c>
      <c r="C181" s="6" t="s">
        <v>18</v>
      </c>
    </row>
    <row r="182" spans="1:3" ht="15.75" thickBot="1" x14ac:dyDescent="0.3">
      <c r="A182" s="7">
        <v>42370</v>
      </c>
      <c r="B182" s="8" t="s">
        <v>7</v>
      </c>
      <c r="C182" s="9" t="s">
        <v>4</v>
      </c>
    </row>
    <row r="183" spans="1:3" ht="15.75" thickBot="1" x14ac:dyDescent="0.3">
      <c r="A183" s="10">
        <v>42408</v>
      </c>
      <c r="B183" s="11" t="s">
        <v>3</v>
      </c>
      <c r="C183" s="12" t="s">
        <v>5</v>
      </c>
    </row>
    <row r="184" spans="1:3" ht="15.75" thickBot="1" x14ac:dyDescent="0.3">
      <c r="A184" s="10">
        <v>42409</v>
      </c>
      <c r="B184" s="11" t="s">
        <v>6</v>
      </c>
      <c r="C184" s="12" t="s">
        <v>5</v>
      </c>
    </row>
    <row r="185" spans="1:3" ht="15.75" thickBot="1" x14ac:dyDescent="0.3">
      <c r="A185" s="10">
        <v>42454</v>
      </c>
      <c r="B185" s="11" t="s">
        <v>7</v>
      </c>
      <c r="C185" s="12" t="s">
        <v>8</v>
      </c>
    </row>
    <row r="186" spans="1:3" ht="15.75" thickBot="1" x14ac:dyDescent="0.3">
      <c r="A186" s="10">
        <v>42481</v>
      </c>
      <c r="B186" s="11" t="s">
        <v>12</v>
      </c>
      <c r="C186" s="12" t="s">
        <v>10</v>
      </c>
    </row>
    <row r="187" spans="1:3" ht="15.75" thickBot="1" x14ac:dyDescent="0.3">
      <c r="A187" s="10">
        <v>42491</v>
      </c>
      <c r="B187" s="11" t="s">
        <v>19</v>
      </c>
      <c r="C187" s="12" t="s">
        <v>11</v>
      </c>
    </row>
    <row r="188" spans="1:3" ht="15.75" thickBot="1" x14ac:dyDescent="0.3">
      <c r="A188" s="10">
        <v>42516</v>
      </c>
      <c r="B188" s="11" t="s">
        <v>12</v>
      </c>
      <c r="C188" s="12" t="s">
        <v>13</v>
      </c>
    </row>
    <row r="189" spans="1:3" ht="15.75" thickBot="1" x14ac:dyDescent="0.3">
      <c r="A189" s="10">
        <v>42620</v>
      </c>
      <c r="B189" s="11" t="s">
        <v>20</v>
      </c>
      <c r="C189" s="12" t="s">
        <v>14</v>
      </c>
    </row>
    <row r="190" spans="1:3" ht="15.75" thickBot="1" x14ac:dyDescent="0.3">
      <c r="A190" s="10">
        <v>42655</v>
      </c>
      <c r="B190" s="11" t="s">
        <v>20</v>
      </c>
      <c r="C190" s="12" t="s">
        <v>15</v>
      </c>
    </row>
    <row r="191" spans="1:3" ht="15.75" thickBot="1" x14ac:dyDescent="0.3">
      <c r="A191" s="10">
        <v>42676</v>
      </c>
      <c r="B191" s="11" t="s">
        <v>20</v>
      </c>
      <c r="C191" s="12" t="s">
        <v>16</v>
      </c>
    </row>
    <row r="192" spans="1:3" ht="15.75" thickBot="1" x14ac:dyDescent="0.3">
      <c r="A192" s="10">
        <v>42689</v>
      </c>
      <c r="B192" s="11" t="s">
        <v>6</v>
      </c>
      <c r="C192" s="12" t="s">
        <v>17</v>
      </c>
    </row>
    <row r="193" spans="1:3" ht="15.75" thickBot="1" x14ac:dyDescent="0.3">
      <c r="A193" s="10">
        <v>42729</v>
      </c>
      <c r="B193" s="11" t="s">
        <v>19</v>
      </c>
      <c r="C193" s="12" t="s">
        <v>18</v>
      </c>
    </row>
    <row r="194" spans="1:3" ht="15.75" thickBot="1" x14ac:dyDescent="0.3">
      <c r="A194" s="13">
        <v>42736</v>
      </c>
      <c r="B194" s="14" t="s">
        <v>19</v>
      </c>
      <c r="C194" s="15" t="s">
        <v>4</v>
      </c>
    </row>
    <row r="195" spans="1:3" ht="15.75" thickBot="1" x14ac:dyDescent="0.3">
      <c r="A195" s="4">
        <v>42793</v>
      </c>
      <c r="B195" s="5" t="s">
        <v>3</v>
      </c>
      <c r="C195" s="6" t="s">
        <v>5</v>
      </c>
    </row>
    <row r="196" spans="1:3" ht="15.75" thickBot="1" x14ac:dyDescent="0.3">
      <c r="A196" s="4">
        <v>42794</v>
      </c>
      <c r="B196" s="5" t="s">
        <v>6</v>
      </c>
      <c r="C196" s="6" t="s">
        <v>5</v>
      </c>
    </row>
    <row r="197" spans="1:3" ht="15.75" thickBot="1" x14ac:dyDescent="0.3">
      <c r="A197" s="4">
        <v>42839</v>
      </c>
      <c r="B197" s="5" t="s">
        <v>7</v>
      </c>
      <c r="C197" s="6" t="s">
        <v>8</v>
      </c>
    </row>
    <row r="198" spans="1:3" ht="15.75" thickBot="1" x14ac:dyDescent="0.3">
      <c r="A198" s="4">
        <v>42846</v>
      </c>
      <c r="B198" s="5" t="s">
        <v>7</v>
      </c>
      <c r="C198" s="6" t="s">
        <v>10</v>
      </c>
    </row>
    <row r="199" spans="1:3" ht="15.75" thickBot="1" x14ac:dyDescent="0.3">
      <c r="A199" s="4">
        <v>42856</v>
      </c>
      <c r="B199" s="5" t="s">
        <v>3</v>
      </c>
      <c r="C199" s="6" t="s">
        <v>11</v>
      </c>
    </row>
    <row r="200" spans="1:3" ht="15.75" thickBot="1" x14ac:dyDescent="0.3">
      <c r="A200" s="4">
        <v>42901</v>
      </c>
      <c r="B200" s="5" t="s">
        <v>12</v>
      </c>
      <c r="C200" s="6" t="s">
        <v>13</v>
      </c>
    </row>
    <row r="201" spans="1:3" ht="15.75" thickBot="1" x14ac:dyDescent="0.3">
      <c r="A201" s="4">
        <v>42985</v>
      </c>
      <c r="B201" s="5" t="s">
        <v>12</v>
      </c>
      <c r="C201" s="6" t="s">
        <v>14</v>
      </c>
    </row>
    <row r="202" spans="1:3" ht="15.75" thickBot="1" x14ac:dyDescent="0.3">
      <c r="A202" s="4">
        <v>43020</v>
      </c>
      <c r="B202" s="5" t="s">
        <v>12</v>
      </c>
      <c r="C202" s="6" t="s">
        <v>15</v>
      </c>
    </row>
    <row r="203" spans="1:3" ht="15.75" thickBot="1" x14ac:dyDescent="0.3">
      <c r="A203" s="4">
        <v>43041</v>
      </c>
      <c r="B203" s="5" t="s">
        <v>12</v>
      </c>
      <c r="C203" s="6" t="s">
        <v>16</v>
      </c>
    </row>
    <row r="204" spans="1:3" ht="15.75" thickBot="1" x14ac:dyDescent="0.3">
      <c r="A204" s="4">
        <v>43054</v>
      </c>
      <c r="B204" s="5" t="s">
        <v>20</v>
      </c>
      <c r="C204" s="6" t="s">
        <v>17</v>
      </c>
    </row>
    <row r="205" spans="1:3" ht="15.75" thickBot="1" x14ac:dyDescent="0.3">
      <c r="A205" s="4">
        <v>43094</v>
      </c>
      <c r="B205" s="5" t="s">
        <v>3</v>
      </c>
      <c r="C205" s="6" t="s">
        <v>18</v>
      </c>
    </row>
    <row r="206" spans="1:3" ht="15.75" thickBot="1" x14ac:dyDescent="0.3">
      <c r="A206" s="7">
        <v>43101</v>
      </c>
      <c r="B206" s="8" t="s">
        <v>3</v>
      </c>
      <c r="C206" s="9" t="s">
        <v>4</v>
      </c>
    </row>
    <row r="207" spans="1:3" ht="15.75" thickBot="1" x14ac:dyDescent="0.3">
      <c r="A207" s="10">
        <v>43143</v>
      </c>
      <c r="B207" s="11" t="s">
        <v>3</v>
      </c>
      <c r="C207" s="12" t="s">
        <v>5</v>
      </c>
    </row>
    <row r="208" spans="1:3" ht="15.75" thickBot="1" x14ac:dyDescent="0.3">
      <c r="A208" s="10">
        <v>43144</v>
      </c>
      <c r="B208" s="11" t="s">
        <v>6</v>
      </c>
      <c r="C208" s="12" t="s">
        <v>5</v>
      </c>
    </row>
    <row r="209" spans="1:3" ht="15.75" thickBot="1" x14ac:dyDescent="0.3">
      <c r="A209" s="10">
        <v>43189</v>
      </c>
      <c r="B209" s="11" t="s">
        <v>7</v>
      </c>
      <c r="C209" s="12" t="s">
        <v>8</v>
      </c>
    </row>
    <row r="210" spans="1:3" ht="15.75" thickBot="1" x14ac:dyDescent="0.3">
      <c r="A210" s="10">
        <v>43211</v>
      </c>
      <c r="B210" s="11" t="s">
        <v>9</v>
      </c>
      <c r="C210" s="12" t="s">
        <v>10</v>
      </c>
    </row>
    <row r="211" spans="1:3" ht="15.75" thickBot="1" x14ac:dyDescent="0.3">
      <c r="A211" s="10">
        <v>43221</v>
      </c>
      <c r="B211" s="11" t="s">
        <v>6</v>
      </c>
      <c r="C211" s="12" t="s">
        <v>11</v>
      </c>
    </row>
    <row r="212" spans="1:3" ht="15.75" thickBot="1" x14ac:dyDescent="0.3">
      <c r="A212" s="10">
        <v>43251</v>
      </c>
      <c r="B212" s="11" t="s">
        <v>12</v>
      </c>
      <c r="C212" s="12" t="s">
        <v>13</v>
      </c>
    </row>
    <row r="213" spans="1:3" ht="15.75" thickBot="1" x14ac:dyDescent="0.3">
      <c r="A213" s="10">
        <v>43350</v>
      </c>
      <c r="B213" s="11" t="s">
        <v>7</v>
      </c>
      <c r="C213" s="12" t="s">
        <v>14</v>
      </c>
    </row>
    <row r="214" spans="1:3" ht="15.75" thickBot="1" x14ac:dyDescent="0.3">
      <c r="A214" s="10">
        <v>43385</v>
      </c>
      <c r="B214" s="11" t="s">
        <v>7</v>
      </c>
      <c r="C214" s="12" t="s">
        <v>15</v>
      </c>
    </row>
    <row r="215" spans="1:3" ht="15.75" thickBot="1" x14ac:dyDescent="0.3">
      <c r="A215" s="10">
        <v>43406</v>
      </c>
      <c r="B215" s="11" t="s">
        <v>7</v>
      </c>
      <c r="C215" s="12" t="s">
        <v>16</v>
      </c>
    </row>
    <row r="216" spans="1:3" ht="15.75" thickBot="1" x14ac:dyDescent="0.3">
      <c r="A216" s="10">
        <v>43419</v>
      </c>
      <c r="B216" s="11" t="s">
        <v>12</v>
      </c>
      <c r="C216" s="12" t="s">
        <v>17</v>
      </c>
    </row>
    <row r="217" spans="1:3" ht="15.75" thickBot="1" x14ac:dyDescent="0.3">
      <c r="A217" s="10">
        <v>43459</v>
      </c>
      <c r="B217" s="11" t="s">
        <v>6</v>
      </c>
      <c r="C217" s="12" t="s">
        <v>18</v>
      </c>
    </row>
    <row r="218" spans="1:3" ht="15.75" thickBot="1" x14ac:dyDescent="0.3">
      <c r="A218" s="13">
        <v>43466</v>
      </c>
      <c r="B218" s="14" t="s">
        <v>6</v>
      </c>
      <c r="C218" s="15" t="s">
        <v>4</v>
      </c>
    </row>
    <row r="219" spans="1:3" ht="15.75" thickBot="1" x14ac:dyDescent="0.3">
      <c r="A219" s="4">
        <v>43528</v>
      </c>
      <c r="B219" s="5" t="s">
        <v>3</v>
      </c>
      <c r="C219" s="6" t="s">
        <v>5</v>
      </c>
    </row>
    <row r="220" spans="1:3" ht="15.75" thickBot="1" x14ac:dyDescent="0.3">
      <c r="A220" s="4">
        <v>43529</v>
      </c>
      <c r="B220" s="5" t="s">
        <v>6</v>
      </c>
      <c r="C220" s="6" t="s">
        <v>5</v>
      </c>
    </row>
    <row r="221" spans="1:3" ht="15.75" thickBot="1" x14ac:dyDescent="0.3">
      <c r="A221" s="4">
        <v>43574</v>
      </c>
      <c r="B221" s="5" t="s">
        <v>7</v>
      </c>
      <c r="C221" s="6" t="s">
        <v>8</v>
      </c>
    </row>
    <row r="222" spans="1:3" ht="15.75" thickBot="1" x14ac:dyDescent="0.3">
      <c r="A222" s="4">
        <v>43576</v>
      </c>
      <c r="B222" s="5" t="s">
        <v>19</v>
      </c>
      <c r="C222" s="6" t="s">
        <v>10</v>
      </c>
    </row>
    <row r="223" spans="1:3" ht="15.75" thickBot="1" x14ac:dyDescent="0.3">
      <c r="A223" s="4">
        <v>43586</v>
      </c>
      <c r="B223" s="5" t="s">
        <v>20</v>
      </c>
      <c r="C223" s="6" t="s">
        <v>11</v>
      </c>
    </row>
    <row r="224" spans="1:3" ht="15.75" thickBot="1" x14ac:dyDescent="0.3">
      <c r="A224" s="4">
        <v>43636</v>
      </c>
      <c r="B224" s="5" t="s">
        <v>12</v>
      </c>
      <c r="C224" s="6" t="s">
        <v>13</v>
      </c>
    </row>
    <row r="225" spans="1:3" ht="15.75" thickBot="1" x14ac:dyDescent="0.3">
      <c r="A225" s="4">
        <v>43715</v>
      </c>
      <c r="B225" s="5" t="s">
        <v>9</v>
      </c>
      <c r="C225" s="6" t="s">
        <v>14</v>
      </c>
    </row>
    <row r="226" spans="1:3" ht="15.75" thickBot="1" x14ac:dyDescent="0.3">
      <c r="A226" s="4">
        <v>43750</v>
      </c>
      <c r="B226" s="5" t="s">
        <v>9</v>
      </c>
      <c r="C226" s="6" t="s">
        <v>15</v>
      </c>
    </row>
    <row r="227" spans="1:3" ht="15.75" thickBot="1" x14ac:dyDescent="0.3">
      <c r="A227" s="4">
        <v>43771</v>
      </c>
      <c r="B227" s="5" t="s">
        <v>9</v>
      </c>
      <c r="C227" s="6" t="s">
        <v>16</v>
      </c>
    </row>
    <row r="228" spans="1:3" ht="15.75" thickBot="1" x14ac:dyDescent="0.3">
      <c r="A228" s="4">
        <v>43784</v>
      </c>
      <c r="B228" s="5" t="s">
        <v>7</v>
      </c>
      <c r="C228" s="6" t="s">
        <v>17</v>
      </c>
    </row>
    <row r="229" spans="1:3" ht="15.75" thickBot="1" x14ac:dyDescent="0.3">
      <c r="A229" s="4">
        <v>43824</v>
      </c>
      <c r="B229" s="5" t="s">
        <v>20</v>
      </c>
      <c r="C229" s="6" t="s">
        <v>18</v>
      </c>
    </row>
    <row r="230" spans="1:3" ht="15.75" thickBot="1" x14ac:dyDescent="0.3">
      <c r="A230" s="7">
        <v>43831</v>
      </c>
      <c r="B230" s="8" t="s">
        <v>20</v>
      </c>
      <c r="C230" s="9" t="s">
        <v>4</v>
      </c>
    </row>
    <row r="231" spans="1:3" ht="15.75" thickBot="1" x14ac:dyDescent="0.3">
      <c r="A231" s="10">
        <v>43885</v>
      </c>
      <c r="B231" s="11" t="s">
        <v>3</v>
      </c>
      <c r="C231" s="12" t="s">
        <v>5</v>
      </c>
    </row>
    <row r="232" spans="1:3" ht="15.75" thickBot="1" x14ac:dyDescent="0.3">
      <c r="A232" s="10">
        <v>43886</v>
      </c>
      <c r="B232" s="11" t="s">
        <v>6</v>
      </c>
      <c r="C232" s="12" t="s">
        <v>5</v>
      </c>
    </row>
    <row r="233" spans="1:3" ht="15.75" thickBot="1" x14ac:dyDescent="0.3">
      <c r="A233" s="10">
        <v>43931</v>
      </c>
      <c r="B233" s="11" t="s">
        <v>7</v>
      </c>
      <c r="C233" s="12" t="s">
        <v>8</v>
      </c>
    </row>
    <row r="234" spans="1:3" ht="15.75" thickBot="1" x14ac:dyDescent="0.3">
      <c r="A234" s="10">
        <v>43942</v>
      </c>
      <c r="B234" s="11" t="s">
        <v>6</v>
      </c>
      <c r="C234" s="12" t="s">
        <v>10</v>
      </c>
    </row>
    <row r="235" spans="1:3" ht="15.75" thickBot="1" x14ac:dyDescent="0.3">
      <c r="A235" s="10">
        <v>43952</v>
      </c>
      <c r="B235" s="11" t="s">
        <v>7</v>
      </c>
      <c r="C235" s="12" t="s">
        <v>11</v>
      </c>
    </row>
    <row r="236" spans="1:3" ht="15.75" thickBot="1" x14ac:dyDescent="0.3">
      <c r="A236" s="10">
        <v>43993</v>
      </c>
      <c r="B236" s="11" t="s">
        <v>12</v>
      </c>
      <c r="C236" s="12" t="s">
        <v>13</v>
      </c>
    </row>
    <row r="237" spans="1:3" ht="15.75" thickBot="1" x14ac:dyDescent="0.3">
      <c r="A237" s="10">
        <v>44081</v>
      </c>
      <c r="B237" s="11" t="s">
        <v>3</v>
      </c>
      <c r="C237" s="12" t="s">
        <v>14</v>
      </c>
    </row>
    <row r="238" spans="1:3" ht="15.75" thickBot="1" x14ac:dyDescent="0.3">
      <c r="A238" s="10">
        <v>44116</v>
      </c>
      <c r="B238" s="11" t="s">
        <v>3</v>
      </c>
      <c r="C238" s="12" t="s">
        <v>15</v>
      </c>
    </row>
    <row r="239" spans="1:3" ht="15.75" thickBot="1" x14ac:dyDescent="0.3">
      <c r="A239" s="10">
        <v>44137</v>
      </c>
      <c r="B239" s="11" t="s">
        <v>3</v>
      </c>
      <c r="C239" s="12" t="s">
        <v>16</v>
      </c>
    </row>
    <row r="240" spans="1:3" ht="15.75" thickBot="1" x14ac:dyDescent="0.3">
      <c r="A240" s="10">
        <v>44150</v>
      </c>
      <c r="B240" s="11" t="s">
        <v>19</v>
      </c>
      <c r="C240" s="12" t="s">
        <v>17</v>
      </c>
    </row>
    <row r="241" spans="1:3" ht="15.75" thickBot="1" x14ac:dyDescent="0.3">
      <c r="A241" s="10">
        <v>44190</v>
      </c>
      <c r="B241" s="11" t="s">
        <v>7</v>
      </c>
      <c r="C241" s="12" t="s">
        <v>18</v>
      </c>
    </row>
    <row r="242" spans="1:3" ht="15.75" thickBot="1" x14ac:dyDescent="0.3">
      <c r="A242" s="13">
        <v>44197</v>
      </c>
      <c r="B242" s="14" t="s">
        <v>7</v>
      </c>
      <c r="C242" s="15" t="s">
        <v>4</v>
      </c>
    </row>
    <row r="243" spans="1:3" ht="15.75" thickBot="1" x14ac:dyDescent="0.3">
      <c r="A243" s="4">
        <v>44242</v>
      </c>
      <c r="B243" s="5" t="s">
        <v>3</v>
      </c>
      <c r="C243" s="6" t="s">
        <v>5</v>
      </c>
    </row>
    <row r="244" spans="1:3" ht="15.75" thickBot="1" x14ac:dyDescent="0.3">
      <c r="A244" s="4">
        <v>44243</v>
      </c>
      <c r="B244" s="5" t="s">
        <v>6</v>
      </c>
      <c r="C244" s="6" t="s">
        <v>5</v>
      </c>
    </row>
    <row r="245" spans="1:3" ht="15.75" thickBot="1" x14ac:dyDescent="0.3">
      <c r="A245" s="4">
        <v>44288</v>
      </c>
      <c r="B245" s="5" t="s">
        <v>7</v>
      </c>
      <c r="C245" s="6" t="s">
        <v>8</v>
      </c>
    </row>
    <row r="246" spans="1:3" ht="15.75" thickBot="1" x14ac:dyDescent="0.3">
      <c r="A246" s="4">
        <v>44307</v>
      </c>
      <c r="B246" s="5" t="s">
        <v>20</v>
      </c>
      <c r="C246" s="6" t="s">
        <v>10</v>
      </c>
    </row>
    <row r="247" spans="1:3" ht="15.75" thickBot="1" x14ac:dyDescent="0.3">
      <c r="A247" s="4">
        <v>44317</v>
      </c>
      <c r="B247" s="5" t="s">
        <v>9</v>
      </c>
      <c r="C247" s="6" t="s">
        <v>11</v>
      </c>
    </row>
    <row r="248" spans="1:3" ht="15.75" thickBot="1" x14ac:dyDescent="0.3">
      <c r="A248" s="4">
        <v>44350</v>
      </c>
      <c r="B248" s="5" t="s">
        <v>12</v>
      </c>
      <c r="C248" s="6" t="s">
        <v>13</v>
      </c>
    </row>
    <row r="249" spans="1:3" ht="15.75" thickBot="1" x14ac:dyDescent="0.3">
      <c r="A249" s="4">
        <v>44446</v>
      </c>
      <c r="B249" s="5" t="s">
        <v>6</v>
      </c>
      <c r="C249" s="6" t="s">
        <v>14</v>
      </c>
    </row>
    <row r="250" spans="1:3" ht="15.75" thickBot="1" x14ac:dyDescent="0.3">
      <c r="A250" s="4">
        <v>44481</v>
      </c>
      <c r="B250" s="5" t="s">
        <v>6</v>
      </c>
      <c r="C250" s="6" t="s">
        <v>15</v>
      </c>
    </row>
    <row r="251" spans="1:3" ht="15.75" thickBot="1" x14ac:dyDescent="0.3">
      <c r="A251" s="4">
        <v>44502</v>
      </c>
      <c r="B251" s="5" t="s">
        <v>6</v>
      </c>
      <c r="C251" s="6" t="s">
        <v>16</v>
      </c>
    </row>
    <row r="252" spans="1:3" ht="15.75" thickBot="1" x14ac:dyDescent="0.3">
      <c r="A252" s="4">
        <v>44515</v>
      </c>
      <c r="B252" s="5" t="s">
        <v>3</v>
      </c>
      <c r="C252" s="6" t="s">
        <v>17</v>
      </c>
    </row>
    <row r="253" spans="1:3" ht="15.75" thickBot="1" x14ac:dyDescent="0.3">
      <c r="A253" s="4">
        <v>44555</v>
      </c>
      <c r="B253" s="5" t="s">
        <v>9</v>
      </c>
      <c r="C253" s="6" t="s">
        <v>18</v>
      </c>
    </row>
    <row r="254" spans="1:3" ht="15.75" thickBot="1" x14ac:dyDescent="0.3">
      <c r="A254" s="7">
        <v>44562</v>
      </c>
      <c r="B254" s="8" t="s">
        <v>9</v>
      </c>
      <c r="C254" s="9" t="s">
        <v>4</v>
      </c>
    </row>
    <row r="255" spans="1:3" ht="15.75" thickBot="1" x14ac:dyDescent="0.3">
      <c r="A255" s="10">
        <v>44620</v>
      </c>
      <c r="B255" s="11" t="s">
        <v>3</v>
      </c>
      <c r="C255" s="12" t="s">
        <v>5</v>
      </c>
    </row>
    <row r="256" spans="1:3" ht="15.75" thickBot="1" x14ac:dyDescent="0.3">
      <c r="A256" s="10">
        <v>44621</v>
      </c>
      <c r="B256" s="11" t="s">
        <v>6</v>
      </c>
      <c r="C256" s="12" t="s">
        <v>5</v>
      </c>
    </row>
    <row r="257" spans="1:3" ht="15.75" thickBot="1" x14ac:dyDescent="0.3">
      <c r="A257" s="10">
        <v>44666</v>
      </c>
      <c r="B257" s="11" t="s">
        <v>7</v>
      </c>
      <c r="C257" s="12" t="s">
        <v>8</v>
      </c>
    </row>
    <row r="258" spans="1:3" ht="15.75" thickBot="1" x14ac:dyDescent="0.3">
      <c r="A258" s="10">
        <v>44672</v>
      </c>
      <c r="B258" s="11" t="s">
        <v>12</v>
      </c>
      <c r="C258" s="12" t="s">
        <v>10</v>
      </c>
    </row>
    <row r="259" spans="1:3" ht="15.75" thickBot="1" x14ac:dyDescent="0.3">
      <c r="A259" s="10">
        <v>44682</v>
      </c>
      <c r="B259" s="11" t="s">
        <v>19</v>
      </c>
      <c r="C259" s="12" t="s">
        <v>11</v>
      </c>
    </row>
    <row r="260" spans="1:3" ht="15.75" thickBot="1" x14ac:dyDescent="0.3">
      <c r="A260" s="10">
        <v>44728</v>
      </c>
      <c r="B260" s="11" t="s">
        <v>12</v>
      </c>
      <c r="C260" s="12" t="s">
        <v>13</v>
      </c>
    </row>
    <row r="261" spans="1:3" ht="15.75" thickBot="1" x14ac:dyDescent="0.3">
      <c r="A261" s="10">
        <v>44811</v>
      </c>
      <c r="B261" s="11" t="s">
        <v>20</v>
      </c>
      <c r="C261" s="12" t="s">
        <v>14</v>
      </c>
    </row>
    <row r="262" spans="1:3" ht="15.75" thickBot="1" x14ac:dyDescent="0.3">
      <c r="A262" s="10">
        <v>44846</v>
      </c>
      <c r="B262" s="11" t="s">
        <v>20</v>
      </c>
      <c r="C262" s="12" t="s">
        <v>15</v>
      </c>
    </row>
    <row r="263" spans="1:3" ht="15.75" thickBot="1" x14ac:dyDescent="0.3">
      <c r="A263" s="10">
        <v>44867</v>
      </c>
      <c r="B263" s="11" t="s">
        <v>20</v>
      </c>
      <c r="C263" s="12" t="s">
        <v>16</v>
      </c>
    </row>
    <row r="264" spans="1:3" ht="15.75" thickBot="1" x14ac:dyDescent="0.3">
      <c r="A264" s="10">
        <v>44880</v>
      </c>
      <c r="B264" s="11" t="s">
        <v>6</v>
      </c>
      <c r="C264" s="12" t="s">
        <v>17</v>
      </c>
    </row>
    <row r="265" spans="1:3" ht="15.75" thickBot="1" x14ac:dyDescent="0.3">
      <c r="A265" s="10">
        <v>44920</v>
      </c>
      <c r="B265" s="11" t="s">
        <v>19</v>
      </c>
      <c r="C265" s="12" t="s">
        <v>18</v>
      </c>
    </row>
    <row r="266" spans="1:3" ht="15.75" thickBot="1" x14ac:dyDescent="0.3">
      <c r="A266" s="13">
        <v>44927</v>
      </c>
      <c r="B266" s="14" t="s">
        <v>19</v>
      </c>
      <c r="C266" s="15" t="s">
        <v>4</v>
      </c>
    </row>
    <row r="267" spans="1:3" ht="15.75" thickBot="1" x14ac:dyDescent="0.3">
      <c r="A267" s="4">
        <v>44977</v>
      </c>
      <c r="B267" s="5" t="s">
        <v>3</v>
      </c>
      <c r="C267" s="6" t="s">
        <v>5</v>
      </c>
    </row>
    <row r="268" spans="1:3" ht="15.75" thickBot="1" x14ac:dyDescent="0.3">
      <c r="A268" s="4">
        <v>44978</v>
      </c>
      <c r="B268" s="5" t="s">
        <v>6</v>
      </c>
      <c r="C268" s="6" t="s">
        <v>5</v>
      </c>
    </row>
    <row r="269" spans="1:3" ht="15.75" thickBot="1" x14ac:dyDescent="0.3">
      <c r="A269" s="4">
        <v>45023</v>
      </c>
      <c r="B269" s="5" t="s">
        <v>7</v>
      </c>
      <c r="C269" s="6" t="s">
        <v>8</v>
      </c>
    </row>
    <row r="270" spans="1:3" ht="15.75" thickBot="1" x14ac:dyDescent="0.3">
      <c r="A270" s="4">
        <v>45037</v>
      </c>
      <c r="B270" s="5" t="s">
        <v>7</v>
      </c>
      <c r="C270" s="6" t="s">
        <v>10</v>
      </c>
    </row>
    <row r="271" spans="1:3" ht="15.75" thickBot="1" x14ac:dyDescent="0.3">
      <c r="A271" s="4">
        <v>45047</v>
      </c>
      <c r="B271" s="5" t="s">
        <v>3</v>
      </c>
      <c r="C271" s="6" t="s">
        <v>11</v>
      </c>
    </row>
    <row r="272" spans="1:3" ht="15.75" thickBot="1" x14ac:dyDescent="0.3">
      <c r="A272" s="4">
        <v>45085</v>
      </c>
      <c r="B272" s="5" t="s">
        <v>12</v>
      </c>
      <c r="C272" s="6" t="s">
        <v>13</v>
      </c>
    </row>
    <row r="273" spans="1:3" ht="15.75" thickBot="1" x14ac:dyDescent="0.3">
      <c r="A273" s="4">
        <v>45176</v>
      </c>
      <c r="B273" s="5" t="s">
        <v>12</v>
      </c>
      <c r="C273" s="6" t="s">
        <v>14</v>
      </c>
    </row>
    <row r="274" spans="1:3" ht="15.75" thickBot="1" x14ac:dyDescent="0.3">
      <c r="A274" s="4">
        <v>45211</v>
      </c>
      <c r="B274" s="5" t="s">
        <v>12</v>
      </c>
      <c r="C274" s="6" t="s">
        <v>15</v>
      </c>
    </row>
    <row r="275" spans="1:3" ht="15.75" thickBot="1" x14ac:dyDescent="0.3">
      <c r="A275" s="4">
        <v>45232</v>
      </c>
      <c r="B275" s="5" t="s">
        <v>12</v>
      </c>
      <c r="C275" s="6" t="s">
        <v>16</v>
      </c>
    </row>
    <row r="276" spans="1:3" ht="15.75" thickBot="1" x14ac:dyDescent="0.3">
      <c r="A276" s="4">
        <v>45245</v>
      </c>
      <c r="B276" s="5" t="s">
        <v>20</v>
      </c>
      <c r="C276" s="6" t="s">
        <v>17</v>
      </c>
    </row>
    <row r="277" spans="1:3" ht="15.75" thickBot="1" x14ac:dyDescent="0.3">
      <c r="A277" s="4">
        <v>45285</v>
      </c>
      <c r="B277" s="5" t="s">
        <v>3</v>
      </c>
      <c r="C277" s="6" t="s">
        <v>18</v>
      </c>
    </row>
    <row r="278" spans="1:3" ht="15.75" thickBot="1" x14ac:dyDescent="0.3">
      <c r="A278" s="7">
        <v>45292</v>
      </c>
      <c r="B278" s="8" t="s">
        <v>3</v>
      </c>
      <c r="C278" s="9" t="s">
        <v>4</v>
      </c>
    </row>
    <row r="279" spans="1:3" ht="15.75" thickBot="1" x14ac:dyDescent="0.3">
      <c r="A279" s="10">
        <v>45334</v>
      </c>
      <c r="B279" s="11" t="s">
        <v>3</v>
      </c>
      <c r="C279" s="12" t="s">
        <v>5</v>
      </c>
    </row>
    <row r="280" spans="1:3" ht="15.75" thickBot="1" x14ac:dyDescent="0.3">
      <c r="A280" s="10">
        <v>45335</v>
      </c>
      <c r="B280" s="11" t="s">
        <v>6</v>
      </c>
      <c r="C280" s="12" t="s">
        <v>5</v>
      </c>
    </row>
    <row r="281" spans="1:3" ht="15.75" thickBot="1" x14ac:dyDescent="0.3">
      <c r="A281" s="10">
        <v>45380</v>
      </c>
      <c r="B281" s="11" t="s">
        <v>7</v>
      </c>
      <c r="C281" s="12" t="s">
        <v>8</v>
      </c>
    </row>
    <row r="282" spans="1:3" ht="15.75" thickBot="1" x14ac:dyDescent="0.3">
      <c r="A282" s="10">
        <v>45403</v>
      </c>
      <c r="B282" s="11" t="s">
        <v>19</v>
      </c>
      <c r="C282" s="12" t="s">
        <v>10</v>
      </c>
    </row>
    <row r="283" spans="1:3" ht="15.75" thickBot="1" x14ac:dyDescent="0.3">
      <c r="A283" s="10">
        <v>45413</v>
      </c>
      <c r="B283" s="11" t="s">
        <v>20</v>
      </c>
      <c r="C283" s="12" t="s">
        <v>11</v>
      </c>
    </row>
    <row r="284" spans="1:3" ht="15.75" thickBot="1" x14ac:dyDescent="0.3">
      <c r="A284" s="10">
        <v>45442</v>
      </c>
      <c r="B284" s="11" t="s">
        <v>12</v>
      </c>
      <c r="C284" s="12" t="s">
        <v>13</v>
      </c>
    </row>
    <row r="285" spans="1:3" ht="15.75" thickBot="1" x14ac:dyDescent="0.3">
      <c r="A285" s="10">
        <v>45542</v>
      </c>
      <c r="B285" s="11" t="s">
        <v>9</v>
      </c>
      <c r="C285" s="12" t="s">
        <v>14</v>
      </c>
    </row>
    <row r="286" spans="1:3" ht="15.75" thickBot="1" x14ac:dyDescent="0.3">
      <c r="A286" s="10">
        <v>45577</v>
      </c>
      <c r="B286" s="11" t="s">
        <v>9</v>
      </c>
      <c r="C286" s="12" t="s">
        <v>15</v>
      </c>
    </row>
    <row r="287" spans="1:3" ht="15.75" thickBot="1" x14ac:dyDescent="0.3">
      <c r="A287" s="10">
        <v>45598</v>
      </c>
      <c r="B287" s="11" t="s">
        <v>9</v>
      </c>
      <c r="C287" s="12" t="s">
        <v>16</v>
      </c>
    </row>
    <row r="288" spans="1:3" ht="15.75" thickBot="1" x14ac:dyDescent="0.3">
      <c r="A288" s="10">
        <v>45611</v>
      </c>
      <c r="B288" s="11" t="s">
        <v>7</v>
      </c>
      <c r="C288" s="12" t="s">
        <v>17</v>
      </c>
    </row>
    <row r="289" spans="1:3" ht="15.75" thickBot="1" x14ac:dyDescent="0.3">
      <c r="A289" s="10">
        <v>45651</v>
      </c>
      <c r="B289" s="11" t="s">
        <v>20</v>
      </c>
      <c r="C289" s="12" t="s">
        <v>18</v>
      </c>
    </row>
    <row r="290" spans="1:3" ht="15.75" thickBot="1" x14ac:dyDescent="0.3">
      <c r="A290" s="13">
        <v>45658</v>
      </c>
      <c r="B290" s="14" t="s">
        <v>20</v>
      </c>
      <c r="C290" s="15" t="s">
        <v>4</v>
      </c>
    </row>
    <row r="291" spans="1:3" ht="15.75" thickBot="1" x14ac:dyDescent="0.3">
      <c r="A291" s="4">
        <v>45719</v>
      </c>
      <c r="B291" s="5" t="s">
        <v>3</v>
      </c>
      <c r="C291" s="6" t="s">
        <v>5</v>
      </c>
    </row>
    <row r="292" spans="1:3" ht="15.75" thickBot="1" x14ac:dyDescent="0.3">
      <c r="A292" s="4">
        <v>45720</v>
      </c>
      <c r="B292" s="5" t="s">
        <v>6</v>
      </c>
      <c r="C292" s="6" t="s">
        <v>5</v>
      </c>
    </row>
    <row r="293" spans="1:3" ht="15.75" thickBot="1" x14ac:dyDescent="0.3">
      <c r="A293" s="4">
        <v>45765</v>
      </c>
      <c r="B293" s="5" t="s">
        <v>7</v>
      </c>
      <c r="C293" s="6" t="s">
        <v>8</v>
      </c>
    </row>
    <row r="294" spans="1:3" ht="15.75" thickBot="1" x14ac:dyDescent="0.3">
      <c r="A294" s="4">
        <v>45768</v>
      </c>
      <c r="B294" s="5" t="s">
        <v>3</v>
      </c>
      <c r="C294" s="6" t="s">
        <v>10</v>
      </c>
    </row>
    <row r="295" spans="1:3" ht="15.75" thickBot="1" x14ac:dyDescent="0.3">
      <c r="A295" s="4">
        <v>45778</v>
      </c>
      <c r="B295" s="5" t="s">
        <v>12</v>
      </c>
      <c r="C295" s="6" t="s">
        <v>11</v>
      </c>
    </row>
    <row r="296" spans="1:3" ht="15.75" thickBot="1" x14ac:dyDescent="0.3">
      <c r="A296" s="4">
        <v>45827</v>
      </c>
      <c r="B296" s="5" t="s">
        <v>12</v>
      </c>
      <c r="C296" s="6" t="s">
        <v>13</v>
      </c>
    </row>
    <row r="297" spans="1:3" ht="15.75" thickBot="1" x14ac:dyDescent="0.3">
      <c r="A297" s="4">
        <v>45907</v>
      </c>
      <c r="B297" s="5" t="s">
        <v>19</v>
      </c>
      <c r="C297" s="6" t="s">
        <v>14</v>
      </c>
    </row>
    <row r="298" spans="1:3" ht="15.75" thickBot="1" x14ac:dyDescent="0.3">
      <c r="A298" s="4">
        <v>45942</v>
      </c>
      <c r="B298" s="5" t="s">
        <v>19</v>
      </c>
      <c r="C298" s="6" t="s">
        <v>15</v>
      </c>
    </row>
    <row r="299" spans="1:3" ht="15.75" thickBot="1" x14ac:dyDescent="0.3">
      <c r="A299" s="4">
        <v>45963</v>
      </c>
      <c r="B299" s="5" t="s">
        <v>19</v>
      </c>
      <c r="C299" s="6" t="s">
        <v>16</v>
      </c>
    </row>
    <row r="300" spans="1:3" ht="15.75" thickBot="1" x14ac:dyDescent="0.3">
      <c r="A300" s="4">
        <v>45976</v>
      </c>
      <c r="B300" s="5" t="s">
        <v>9</v>
      </c>
      <c r="C300" s="6" t="s">
        <v>17</v>
      </c>
    </row>
    <row r="301" spans="1:3" ht="15.75" thickBot="1" x14ac:dyDescent="0.3">
      <c r="A301" s="4">
        <v>46016</v>
      </c>
      <c r="B301" s="5" t="s">
        <v>12</v>
      </c>
      <c r="C301" s="6" t="s">
        <v>18</v>
      </c>
    </row>
    <row r="302" spans="1:3" ht="15.75" thickBot="1" x14ac:dyDescent="0.3">
      <c r="A302" s="7">
        <v>46023</v>
      </c>
      <c r="B302" s="8" t="s">
        <v>12</v>
      </c>
      <c r="C302" s="9" t="s">
        <v>4</v>
      </c>
    </row>
    <row r="303" spans="1:3" ht="15.75" thickBot="1" x14ac:dyDescent="0.3">
      <c r="A303" s="10">
        <v>46069</v>
      </c>
      <c r="B303" s="11" t="s">
        <v>3</v>
      </c>
      <c r="C303" s="12" t="s">
        <v>5</v>
      </c>
    </row>
    <row r="304" spans="1:3" ht="15.75" thickBot="1" x14ac:dyDescent="0.3">
      <c r="A304" s="10">
        <v>46070</v>
      </c>
      <c r="B304" s="11" t="s">
        <v>6</v>
      </c>
      <c r="C304" s="12" t="s">
        <v>5</v>
      </c>
    </row>
    <row r="305" spans="1:3" ht="15.75" thickBot="1" x14ac:dyDescent="0.3">
      <c r="A305" s="10">
        <v>46115</v>
      </c>
      <c r="B305" s="11" t="s">
        <v>7</v>
      </c>
      <c r="C305" s="12" t="s">
        <v>8</v>
      </c>
    </row>
    <row r="306" spans="1:3" ht="15.75" thickBot="1" x14ac:dyDescent="0.3">
      <c r="A306" s="10">
        <v>46133</v>
      </c>
      <c r="B306" s="11" t="s">
        <v>6</v>
      </c>
      <c r="C306" s="12" t="s">
        <v>10</v>
      </c>
    </row>
    <row r="307" spans="1:3" ht="15.75" thickBot="1" x14ac:dyDescent="0.3">
      <c r="A307" s="10">
        <v>46143</v>
      </c>
      <c r="B307" s="11" t="s">
        <v>7</v>
      </c>
      <c r="C307" s="12" t="s">
        <v>11</v>
      </c>
    </row>
    <row r="308" spans="1:3" ht="15.75" thickBot="1" x14ac:dyDescent="0.3">
      <c r="A308" s="10">
        <v>46177</v>
      </c>
      <c r="B308" s="11" t="s">
        <v>12</v>
      </c>
      <c r="C308" s="12" t="s">
        <v>13</v>
      </c>
    </row>
    <row r="309" spans="1:3" ht="15.75" thickBot="1" x14ac:dyDescent="0.3">
      <c r="A309" s="10">
        <v>46272</v>
      </c>
      <c r="B309" s="11" t="s">
        <v>3</v>
      </c>
      <c r="C309" s="12" t="s">
        <v>14</v>
      </c>
    </row>
    <row r="310" spans="1:3" ht="15.75" thickBot="1" x14ac:dyDescent="0.3">
      <c r="A310" s="10">
        <v>46307</v>
      </c>
      <c r="B310" s="11" t="s">
        <v>3</v>
      </c>
      <c r="C310" s="12" t="s">
        <v>15</v>
      </c>
    </row>
    <row r="311" spans="1:3" ht="15.75" thickBot="1" x14ac:dyDescent="0.3">
      <c r="A311" s="10">
        <v>46328</v>
      </c>
      <c r="B311" s="11" t="s">
        <v>3</v>
      </c>
      <c r="C311" s="12" t="s">
        <v>16</v>
      </c>
    </row>
    <row r="312" spans="1:3" ht="15.75" thickBot="1" x14ac:dyDescent="0.3">
      <c r="A312" s="10">
        <v>46341</v>
      </c>
      <c r="B312" s="11" t="s">
        <v>19</v>
      </c>
      <c r="C312" s="12" t="s">
        <v>17</v>
      </c>
    </row>
    <row r="313" spans="1:3" ht="15.75" thickBot="1" x14ac:dyDescent="0.3">
      <c r="A313" s="10">
        <v>46381</v>
      </c>
      <c r="B313" s="11" t="s">
        <v>7</v>
      </c>
      <c r="C313" s="12" t="s">
        <v>18</v>
      </c>
    </row>
    <row r="314" spans="1:3" ht="15.75" thickBot="1" x14ac:dyDescent="0.3">
      <c r="A314" s="13">
        <v>46388</v>
      </c>
      <c r="B314" s="14" t="s">
        <v>7</v>
      </c>
      <c r="C314" s="15" t="s">
        <v>4</v>
      </c>
    </row>
    <row r="315" spans="1:3" ht="15.75" thickBot="1" x14ac:dyDescent="0.3">
      <c r="A315" s="4">
        <v>46426</v>
      </c>
      <c r="B315" s="5" t="s">
        <v>3</v>
      </c>
      <c r="C315" s="6" t="s">
        <v>5</v>
      </c>
    </row>
    <row r="316" spans="1:3" ht="15.75" thickBot="1" x14ac:dyDescent="0.3">
      <c r="A316" s="4">
        <v>46427</v>
      </c>
      <c r="B316" s="5" t="s">
        <v>6</v>
      </c>
      <c r="C316" s="6" t="s">
        <v>5</v>
      </c>
    </row>
    <row r="317" spans="1:3" ht="15.75" thickBot="1" x14ac:dyDescent="0.3">
      <c r="A317" s="4">
        <v>46472</v>
      </c>
      <c r="B317" s="5" t="s">
        <v>7</v>
      </c>
      <c r="C317" s="6" t="s">
        <v>8</v>
      </c>
    </row>
    <row r="318" spans="1:3" ht="15.75" thickBot="1" x14ac:dyDescent="0.3">
      <c r="A318" s="4">
        <v>46498</v>
      </c>
      <c r="B318" s="5" t="s">
        <v>20</v>
      </c>
      <c r="C318" s="6" t="s">
        <v>10</v>
      </c>
    </row>
    <row r="319" spans="1:3" ht="15.75" thickBot="1" x14ac:dyDescent="0.3">
      <c r="A319" s="4">
        <v>46508</v>
      </c>
      <c r="B319" s="5" t="s">
        <v>9</v>
      </c>
      <c r="C319" s="6" t="s">
        <v>11</v>
      </c>
    </row>
    <row r="320" spans="1:3" ht="15.75" thickBot="1" x14ac:dyDescent="0.3">
      <c r="A320" s="4">
        <v>46534</v>
      </c>
      <c r="B320" s="5" t="s">
        <v>12</v>
      </c>
      <c r="C320" s="6" t="s">
        <v>13</v>
      </c>
    </row>
    <row r="321" spans="1:3" ht="15.75" thickBot="1" x14ac:dyDescent="0.3">
      <c r="A321" s="4">
        <v>46637</v>
      </c>
      <c r="B321" s="5" t="s">
        <v>6</v>
      </c>
      <c r="C321" s="6" t="s">
        <v>14</v>
      </c>
    </row>
    <row r="322" spans="1:3" ht="15.75" thickBot="1" x14ac:dyDescent="0.3">
      <c r="A322" s="4">
        <v>46672</v>
      </c>
      <c r="B322" s="5" t="s">
        <v>6</v>
      </c>
      <c r="C322" s="6" t="s">
        <v>15</v>
      </c>
    </row>
    <row r="323" spans="1:3" ht="15.75" thickBot="1" x14ac:dyDescent="0.3">
      <c r="A323" s="4">
        <v>46693</v>
      </c>
      <c r="B323" s="5" t="s">
        <v>6</v>
      </c>
      <c r="C323" s="6" t="s">
        <v>16</v>
      </c>
    </row>
    <row r="324" spans="1:3" ht="15.75" thickBot="1" x14ac:dyDescent="0.3">
      <c r="A324" s="4">
        <v>46706</v>
      </c>
      <c r="B324" s="5" t="s">
        <v>3</v>
      </c>
      <c r="C324" s="6" t="s">
        <v>17</v>
      </c>
    </row>
    <row r="325" spans="1:3" ht="15.75" thickBot="1" x14ac:dyDescent="0.3">
      <c r="A325" s="4">
        <v>46746</v>
      </c>
      <c r="B325" s="5" t="s">
        <v>9</v>
      </c>
      <c r="C325" s="6" t="s">
        <v>18</v>
      </c>
    </row>
    <row r="326" spans="1:3" ht="15.75" thickBot="1" x14ac:dyDescent="0.3">
      <c r="A326" s="7">
        <v>46753</v>
      </c>
      <c r="B326" s="8" t="s">
        <v>9</v>
      </c>
      <c r="C326" s="9" t="s">
        <v>4</v>
      </c>
    </row>
    <row r="327" spans="1:3" ht="15.75" thickBot="1" x14ac:dyDescent="0.3">
      <c r="A327" s="10">
        <v>46811</v>
      </c>
      <c r="B327" s="11" t="s">
        <v>3</v>
      </c>
      <c r="C327" s="12" t="s">
        <v>5</v>
      </c>
    </row>
    <row r="328" spans="1:3" ht="15.75" thickBot="1" x14ac:dyDescent="0.3">
      <c r="A328" s="10">
        <v>46812</v>
      </c>
      <c r="B328" s="11" t="s">
        <v>6</v>
      </c>
      <c r="C328" s="12" t="s">
        <v>5</v>
      </c>
    </row>
    <row r="329" spans="1:3" ht="15.75" thickBot="1" x14ac:dyDescent="0.3">
      <c r="A329" s="10">
        <v>46857</v>
      </c>
      <c r="B329" s="11" t="s">
        <v>7</v>
      </c>
      <c r="C329" s="12" t="s">
        <v>8</v>
      </c>
    </row>
    <row r="330" spans="1:3" ht="15.75" thickBot="1" x14ac:dyDescent="0.3">
      <c r="A330" s="10">
        <v>46864</v>
      </c>
      <c r="B330" s="11" t="s">
        <v>7</v>
      </c>
      <c r="C330" s="12" t="s">
        <v>10</v>
      </c>
    </row>
    <row r="331" spans="1:3" ht="15.75" thickBot="1" x14ac:dyDescent="0.3">
      <c r="A331" s="10">
        <v>46874</v>
      </c>
      <c r="B331" s="11" t="s">
        <v>3</v>
      </c>
      <c r="C331" s="12" t="s">
        <v>11</v>
      </c>
    </row>
    <row r="332" spans="1:3" ht="15.75" thickBot="1" x14ac:dyDescent="0.3">
      <c r="A332" s="10">
        <v>46919</v>
      </c>
      <c r="B332" s="11" t="s">
        <v>12</v>
      </c>
      <c r="C332" s="12" t="s">
        <v>13</v>
      </c>
    </row>
    <row r="333" spans="1:3" ht="15.75" thickBot="1" x14ac:dyDescent="0.3">
      <c r="A333" s="10">
        <v>47003</v>
      </c>
      <c r="B333" s="11" t="s">
        <v>12</v>
      </c>
      <c r="C333" s="12" t="s">
        <v>14</v>
      </c>
    </row>
    <row r="334" spans="1:3" ht="15.75" thickBot="1" x14ac:dyDescent="0.3">
      <c r="A334" s="10">
        <v>47038</v>
      </c>
      <c r="B334" s="11" t="s">
        <v>12</v>
      </c>
      <c r="C334" s="12" t="s">
        <v>15</v>
      </c>
    </row>
    <row r="335" spans="1:3" ht="15.75" thickBot="1" x14ac:dyDescent="0.3">
      <c r="A335" s="10">
        <v>47059</v>
      </c>
      <c r="B335" s="11" t="s">
        <v>12</v>
      </c>
      <c r="C335" s="12" t="s">
        <v>16</v>
      </c>
    </row>
    <row r="336" spans="1:3" ht="15.75" thickBot="1" x14ac:dyDescent="0.3">
      <c r="A336" s="10">
        <v>47072</v>
      </c>
      <c r="B336" s="11" t="s">
        <v>20</v>
      </c>
      <c r="C336" s="12" t="s">
        <v>17</v>
      </c>
    </row>
    <row r="337" spans="1:3" ht="15.75" thickBot="1" x14ac:dyDescent="0.3">
      <c r="A337" s="10">
        <v>47112</v>
      </c>
      <c r="B337" s="11" t="s">
        <v>3</v>
      </c>
      <c r="C337" s="12" t="s">
        <v>18</v>
      </c>
    </row>
    <row r="338" spans="1:3" ht="15.75" thickBot="1" x14ac:dyDescent="0.3">
      <c r="A338" s="13">
        <v>47119</v>
      </c>
      <c r="B338" s="14" t="s">
        <v>3</v>
      </c>
      <c r="C338" s="15" t="s">
        <v>4</v>
      </c>
    </row>
    <row r="339" spans="1:3" ht="15.75" thickBot="1" x14ac:dyDescent="0.3">
      <c r="A339" s="4">
        <v>47161</v>
      </c>
      <c r="B339" s="5" t="s">
        <v>3</v>
      </c>
      <c r="C339" s="6" t="s">
        <v>5</v>
      </c>
    </row>
    <row r="340" spans="1:3" ht="15.75" thickBot="1" x14ac:dyDescent="0.3">
      <c r="A340" s="4">
        <v>47162</v>
      </c>
      <c r="B340" s="5" t="s">
        <v>6</v>
      </c>
      <c r="C340" s="6" t="s">
        <v>5</v>
      </c>
    </row>
    <row r="341" spans="1:3" ht="15.75" thickBot="1" x14ac:dyDescent="0.3">
      <c r="A341" s="4">
        <v>47207</v>
      </c>
      <c r="B341" s="5" t="s">
        <v>7</v>
      </c>
      <c r="C341" s="6" t="s">
        <v>8</v>
      </c>
    </row>
    <row r="342" spans="1:3" ht="15.75" thickBot="1" x14ac:dyDescent="0.3">
      <c r="A342" s="4">
        <v>47229</v>
      </c>
      <c r="B342" s="5" t="s">
        <v>9</v>
      </c>
      <c r="C342" s="6" t="s">
        <v>10</v>
      </c>
    </row>
    <row r="343" spans="1:3" ht="15.75" thickBot="1" x14ac:dyDescent="0.3">
      <c r="A343" s="4">
        <v>47239</v>
      </c>
      <c r="B343" s="5" t="s">
        <v>6</v>
      </c>
      <c r="C343" s="6" t="s">
        <v>11</v>
      </c>
    </row>
    <row r="344" spans="1:3" ht="15.75" thickBot="1" x14ac:dyDescent="0.3">
      <c r="A344" s="4">
        <v>47269</v>
      </c>
      <c r="B344" s="5" t="s">
        <v>12</v>
      </c>
      <c r="C344" s="6" t="s">
        <v>13</v>
      </c>
    </row>
    <row r="345" spans="1:3" ht="15.75" thickBot="1" x14ac:dyDescent="0.3">
      <c r="A345" s="4">
        <v>47368</v>
      </c>
      <c r="B345" s="5" t="s">
        <v>7</v>
      </c>
      <c r="C345" s="6" t="s">
        <v>14</v>
      </c>
    </row>
    <row r="346" spans="1:3" ht="15.75" thickBot="1" x14ac:dyDescent="0.3">
      <c r="A346" s="4">
        <v>47403</v>
      </c>
      <c r="B346" s="5" t="s">
        <v>7</v>
      </c>
      <c r="C346" s="6" t="s">
        <v>15</v>
      </c>
    </row>
    <row r="347" spans="1:3" ht="15.75" thickBot="1" x14ac:dyDescent="0.3">
      <c r="A347" s="4">
        <v>47424</v>
      </c>
      <c r="B347" s="5" t="s">
        <v>7</v>
      </c>
      <c r="C347" s="6" t="s">
        <v>16</v>
      </c>
    </row>
    <row r="348" spans="1:3" ht="15.75" thickBot="1" x14ac:dyDescent="0.3">
      <c r="A348" s="4">
        <v>47437</v>
      </c>
      <c r="B348" s="5" t="s">
        <v>12</v>
      </c>
      <c r="C348" s="6" t="s">
        <v>17</v>
      </c>
    </row>
    <row r="349" spans="1:3" ht="15.75" thickBot="1" x14ac:dyDescent="0.3">
      <c r="A349" s="4">
        <v>47477</v>
      </c>
      <c r="B349" s="5" t="s">
        <v>6</v>
      </c>
      <c r="C349" s="6" t="s">
        <v>18</v>
      </c>
    </row>
    <row r="350" spans="1:3" ht="15.75" thickBot="1" x14ac:dyDescent="0.3">
      <c r="A350" s="7">
        <v>47484</v>
      </c>
      <c r="B350" s="8" t="s">
        <v>6</v>
      </c>
      <c r="C350" s="9" t="s">
        <v>4</v>
      </c>
    </row>
    <row r="351" spans="1:3" ht="15.75" thickBot="1" x14ac:dyDescent="0.3">
      <c r="A351" s="10">
        <v>47546</v>
      </c>
      <c r="B351" s="11" t="s">
        <v>3</v>
      </c>
      <c r="C351" s="12" t="s">
        <v>5</v>
      </c>
    </row>
    <row r="352" spans="1:3" ht="15.75" thickBot="1" x14ac:dyDescent="0.3">
      <c r="A352" s="10">
        <v>47547</v>
      </c>
      <c r="B352" s="11" t="s">
        <v>6</v>
      </c>
      <c r="C352" s="12" t="s">
        <v>5</v>
      </c>
    </row>
    <row r="353" spans="1:3" ht="15.75" thickBot="1" x14ac:dyDescent="0.3">
      <c r="A353" s="10">
        <v>47592</v>
      </c>
      <c r="B353" s="11" t="s">
        <v>7</v>
      </c>
      <c r="C353" s="12" t="s">
        <v>8</v>
      </c>
    </row>
    <row r="354" spans="1:3" ht="15.75" thickBot="1" x14ac:dyDescent="0.3">
      <c r="A354" s="10">
        <v>47594</v>
      </c>
      <c r="B354" s="11" t="s">
        <v>19</v>
      </c>
      <c r="C354" s="12" t="s">
        <v>10</v>
      </c>
    </row>
    <row r="355" spans="1:3" ht="15.75" thickBot="1" x14ac:dyDescent="0.3">
      <c r="A355" s="10">
        <v>47604</v>
      </c>
      <c r="B355" s="11" t="s">
        <v>20</v>
      </c>
      <c r="C355" s="12" t="s">
        <v>11</v>
      </c>
    </row>
    <row r="356" spans="1:3" ht="15.75" thickBot="1" x14ac:dyDescent="0.3">
      <c r="A356" s="10">
        <v>47654</v>
      </c>
      <c r="B356" s="11" t="s">
        <v>12</v>
      </c>
      <c r="C356" s="12" t="s">
        <v>13</v>
      </c>
    </row>
    <row r="357" spans="1:3" ht="15.75" thickBot="1" x14ac:dyDescent="0.3">
      <c r="A357" s="10">
        <v>47733</v>
      </c>
      <c r="B357" s="11" t="s">
        <v>9</v>
      </c>
      <c r="C357" s="12" t="s">
        <v>14</v>
      </c>
    </row>
    <row r="358" spans="1:3" ht="15.75" thickBot="1" x14ac:dyDescent="0.3">
      <c r="A358" s="10">
        <v>47768</v>
      </c>
      <c r="B358" s="11" t="s">
        <v>9</v>
      </c>
      <c r="C358" s="12" t="s">
        <v>15</v>
      </c>
    </row>
    <row r="359" spans="1:3" ht="15.75" thickBot="1" x14ac:dyDescent="0.3">
      <c r="A359" s="10">
        <v>47789</v>
      </c>
      <c r="B359" s="11" t="s">
        <v>9</v>
      </c>
      <c r="C359" s="12" t="s">
        <v>16</v>
      </c>
    </row>
    <row r="360" spans="1:3" ht="15.75" thickBot="1" x14ac:dyDescent="0.3">
      <c r="A360" s="10">
        <v>47802</v>
      </c>
      <c r="B360" s="11" t="s">
        <v>7</v>
      </c>
      <c r="C360" s="12" t="s">
        <v>17</v>
      </c>
    </row>
    <row r="361" spans="1:3" ht="15.75" thickBot="1" x14ac:dyDescent="0.3">
      <c r="A361" s="10">
        <v>47842</v>
      </c>
      <c r="B361" s="11" t="s">
        <v>20</v>
      </c>
      <c r="C361" s="12" t="s">
        <v>18</v>
      </c>
    </row>
    <row r="362" spans="1:3" ht="15.75" thickBot="1" x14ac:dyDescent="0.3">
      <c r="A362" s="13">
        <v>47849</v>
      </c>
      <c r="B362" s="14" t="s">
        <v>20</v>
      </c>
      <c r="C362" s="15" t="s">
        <v>4</v>
      </c>
    </row>
    <row r="363" spans="1:3" ht="15.75" thickBot="1" x14ac:dyDescent="0.3">
      <c r="A363" s="4">
        <v>47903</v>
      </c>
      <c r="B363" s="5" t="s">
        <v>3</v>
      </c>
      <c r="C363" s="6" t="s">
        <v>5</v>
      </c>
    </row>
    <row r="364" spans="1:3" ht="15.75" thickBot="1" x14ac:dyDescent="0.3">
      <c r="A364" s="4">
        <v>47904</v>
      </c>
      <c r="B364" s="5" t="s">
        <v>6</v>
      </c>
      <c r="C364" s="6" t="s">
        <v>5</v>
      </c>
    </row>
    <row r="365" spans="1:3" ht="15.75" thickBot="1" x14ac:dyDescent="0.3">
      <c r="A365" s="4">
        <v>47949</v>
      </c>
      <c r="B365" s="5" t="s">
        <v>7</v>
      </c>
      <c r="C365" s="6" t="s">
        <v>8</v>
      </c>
    </row>
    <row r="366" spans="1:3" ht="15.75" thickBot="1" x14ac:dyDescent="0.3">
      <c r="A366" s="4">
        <v>47959</v>
      </c>
      <c r="B366" s="5" t="s">
        <v>3</v>
      </c>
      <c r="C366" s="6" t="s">
        <v>10</v>
      </c>
    </row>
    <row r="367" spans="1:3" ht="15.75" thickBot="1" x14ac:dyDescent="0.3">
      <c r="A367" s="4">
        <v>47969</v>
      </c>
      <c r="B367" s="5" t="s">
        <v>12</v>
      </c>
      <c r="C367" s="6" t="s">
        <v>11</v>
      </c>
    </row>
    <row r="368" spans="1:3" ht="15.75" thickBot="1" x14ac:dyDescent="0.3">
      <c r="A368" s="4">
        <v>48011</v>
      </c>
      <c r="B368" s="5" t="s">
        <v>12</v>
      </c>
      <c r="C368" s="6" t="s">
        <v>13</v>
      </c>
    </row>
    <row r="369" spans="1:3" ht="15.75" thickBot="1" x14ac:dyDescent="0.3">
      <c r="A369" s="4">
        <v>48098</v>
      </c>
      <c r="B369" s="5" t="s">
        <v>19</v>
      </c>
      <c r="C369" s="6" t="s">
        <v>14</v>
      </c>
    </row>
    <row r="370" spans="1:3" ht="15.75" thickBot="1" x14ac:dyDescent="0.3">
      <c r="A370" s="4">
        <v>48133</v>
      </c>
      <c r="B370" s="5" t="s">
        <v>19</v>
      </c>
      <c r="C370" s="6" t="s">
        <v>15</v>
      </c>
    </row>
    <row r="371" spans="1:3" ht="15.75" thickBot="1" x14ac:dyDescent="0.3">
      <c r="A371" s="4">
        <v>48154</v>
      </c>
      <c r="B371" s="5" t="s">
        <v>19</v>
      </c>
      <c r="C371" s="6" t="s">
        <v>16</v>
      </c>
    </row>
    <row r="372" spans="1:3" ht="15.75" thickBot="1" x14ac:dyDescent="0.3">
      <c r="A372" s="4">
        <v>48167</v>
      </c>
      <c r="B372" s="5" t="s">
        <v>9</v>
      </c>
      <c r="C372" s="6" t="s">
        <v>17</v>
      </c>
    </row>
    <row r="373" spans="1:3" ht="15.75" thickBot="1" x14ac:dyDescent="0.3">
      <c r="A373" s="4">
        <v>48207</v>
      </c>
      <c r="B373" s="5" t="s">
        <v>12</v>
      </c>
      <c r="C373" s="6" t="s">
        <v>18</v>
      </c>
    </row>
    <row r="374" spans="1:3" ht="15.75" thickBot="1" x14ac:dyDescent="0.3">
      <c r="A374" s="7">
        <v>48214</v>
      </c>
      <c r="B374" s="8" t="s">
        <v>12</v>
      </c>
      <c r="C374" s="9" t="s">
        <v>4</v>
      </c>
    </row>
    <row r="375" spans="1:3" ht="15.75" thickBot="1" x14ac:dyDescent="0.3">
      <c r="A375" s="10">
        <v>48253</v>
      </c>
      <c r="B375" s="11" t="s">
        <v>3</v>
      </c>
      <c r="C375" s="12" t="s">
        <v>5</v>
      </c>
    </row>
    <row r="376" spans="1:3" ht="15.75" thickBot="1" x14ac:dyDescent="0.3">
      <c r="A376" s="10">
        <v>48254</v>
      </c>
      <c r="B376" s="11" t="s">
        <v>6</v>
      </c>
      <c r="C376" s="12" t="s">
        <v>5</v>
      </c>
    </row>
    <row r="377" spans="1:3" ht="15.75" thickBot="1" x14ac:dyDescent="0.3">
      <c r="A377" s="10">
        <v>48299</v>
      </c>
      <c r="B377" s="11" t="s">
        <v>7</v>
      </c>
      <c r="C377" s="12" t="s">
        <v>8</v>
      </c>
    </row>
    <row r="378" spans="1:3" ht="15.75" thickBot="1" x14ac:dyDescent="0.3">
      <c r="A378" s="10">
        <v>48325</v>
      </c>
      <c r="B378" s="11" t="s">
        <v>20</v>
      </c>
      <c r="C378" s="12" t="s">
        <v>10</v>
      </c>
    </row>
    <row r="379" spans="1:3" ht="15.75" thickBot="1" x14ac:dyDescent="0.3">
      <c r="A379" s="10">
        <v>48335</v>
      </c>
      <c r="B379" s="11" t="s">
        <v>9</v>
      </c>
      <c r="C379" s="12" t="s">
        <v>11</v>
      </c>
    </row>
    <row r="380" spans="1:3" ht="15.75" thickBot="1" x14ac:dyDescent="0.3">
      <c r="A380" s="10">
        <v>48361</v>
      </c>
      <c r="B380" s="11" t="s">
        <v>12</v>
      </c>
      <c r="C380" s="12" t="s">
        <v>13</v>
      </c>
    </row>
    <row r="381" spans="1:3" ht="15.75" thickBot="1" x14ac:dyDescent="0.3">
      <c r="A381" s="10">
        <v>48464</v>
      </c>
      <c r="B381" s="11" t="s">
        <v>6</v>
      </c>
      <c r="C381" s="12" t="s">
        <v>14</v>
      </c>
    </row>
    <row r="382" spans="1:3" ht="15.75" thickBot="1" x14ac:dyDescent="0.3">
      <c r="A382" s="10">
        <v>48499</v>
      </c>
      <c r="B382" s="11" t="s">
        <v>6</v>
      </c>
      <c r="C382" s="12" t="s">
        <v>15</v>
      </c>
    </row>
    <row r="383" spans="1:3" ht="15.75" thickBot="1" x14ac:dyDescent="0.3">
      <c r="A383" s="10">
        <v>48520</v>
      </c>
      <c r="B383" s="11" t="s">
        <v>6</v>
      </c>
      <c r="C383" s="12" t="s">
        <v>16</v>
      </c>
    </row>
    <row r="384" spans="1:3" ht="15.75" thickBot="1" x14ac:dyDescent="0.3">
      <c r="A384" s="10">
        <v>48533</v>
      </c>
      <c r="B384" s="11" t="s">
        <v>3</v>
      </c>
      <c r="C384" s="12" t="s">
        <v>17</v>
      </c>
    </row>
    <row r="385" spans="1:3" ht="15.75" thickBot="1" x14ac:dyDescent="0.3">
      <c r="A385" s="10">
        <v>48573</v>
      </c>
      <c r="B385" s="11" t="s">
        <v>9</v>
      </c>
      <c r="C385" s="12" t="s">
        <v>18</v>
      </c>
    </row>
    <row r="386" spans="1:3" ht="15.75" thickBot="1" x14ac:dyDescent="0.3">
      <c r="A386" s="7">
        <v>48580</v>
      </c>
      <c r="B386" s="8" t="s">
        <v>9</v>
      </c>
      <c r="C386" s="9" t="s">
        <v>4</v>
      </c>
    </row>
    <row r="387" spans="1:3" ht="15.75" thickBot="1" x14ac:dyDescent="0.3">
      <c r="A387" s="4">
        <v>48638</v>
      </c>
      <c r="B387" s="5" t="s">
        <v>3</v>
      </c>
      <c r="C387" s="6" t="s">
        <v>5</v>
      </c>
    </row>
    <row r="388" spans="1:3" ht="15.75" thickBot="1" x14ac:dyDescent="0.3">
      <c r="A388" s="4">
        <v>48639</v>
      </c>
      <c r="B388" s="5" t="s">
        <v>6</v>
      </c>
      <c r="C388" s="6" t="s">
        <v>5</v>
      </c>
    </row>
    <row r="389" spans="1:3" ht="15.75" thickBot="1" x14ac:dyDescent="0.3">
      <c r="A389" s="4">
        <v>48684</v>
      </c>
      <c r="B389" s="5" t="s">
        <v>7</v>
      </c>
      <c r="C389" s="6" t="s">
        <v>8</v>
      </c>
    </row>
    <row r="390" spans="1:3" ht="15.75" thickBot="1" x14ac:dyDescent="0.3">
      <c r="A390" s="4">
        <v>48690</v>
      </c>
      <c r="B390" s="5" t="s">
        <v>12</v>
      </c>
      <c r="C390" s="6" t="s">
        <v>10</v>
      </c>
    </row>
    <row r="391" spans="1:3" ht="15.75" thickBot="1" x14ac:dyDescent="0.3">
      <c r="A391" s="4">
        <v>48700</v>
      </c>
      <c r="B391" s="5" t="s">
        <v>19</v>
      </c>
      <c r="C391" s="6" t="s">
        <v>11</v>
      </c>
    </row>
    <row r="392" spans="1:3" ht="15.75" thickBot="1" x14ac:dyDescent="0.3">
      <c r="A392" s="4">
        <v>48746</v>
      </c>
      <c r="B392" s="5" t="s">
        <v>12</v>
      </c>
      <c r="C392" s="6" t="s">
        <v>13</v>
      </c>
    </row>
    <row r="393" spans="1:3" ht="15.75" thickBot="1" x14ac:dyDescent="0.3">
      <c r="A393" s="4">
        <v>48829</v>
      </c>
      <c r="B393" s="5" t="s">
        <v>20</v>
      </c>
      <c r="C393" s="6" t="s">
        <v>14</v>
      </c>
    </row>
    <row r="394" spans="1:3" ht="15.75" thickBot="1" x14ac:dyDescent="0.3">
      <c r="A394" s="4">
        <v>48864</v>
      </c>
      <c r="B394" s="5" t="s">
        <v>20</v>
      </c>
      <c r="C394" s="6" t="s">
        <v>15</v>
      </c>
    </row>
    <row r="395" spans="1:3" ht="15.75" thickBot="1" x14ac:dyDescent="0.3">
      <c r="A395" s="4">
        <v>48885</v>
      </c>
      <c r="B395" s="5" t="s">
        <v>20</v>
      </c>
      <c r="C395" s="6" t="s">
        <v>16</v>
      </c>
    </row>
    <row r="396" spans="1:3" ht="15.75" thickBot="1" x14ac:dyDescent="0.3">
      <c r="A396" s="4">
        <v>48898</v>
      </c>
      <c r="B396" s="5" t="s">
        <v>6</v>
      </c>
      <c r="C396" s="6" t="s">
        <v>17</v>
      </c>
    </row>
    <row r="397" spans="1:3" ht="15.75" thickBot="1" x14ac:dyDescent="0.3">
      <c r="A397" s="4">
        <v>48938</v>
      </c>
      <c r="B397" s="5" t="s">
        <v>19</v>
      </c>
      <c r="C397" s="6" t="s">
        <v>18</v>
      </c>
    </row>
    <row r="398" spans="1:3" ht="15.75" thickBot="1" x14ac:dyDescent="0.3">
      <c r="A398" s="7">
        <v>48945</v>
      </c>
      <c r="B398" s="8" t="s">
        <v>19</v>
      </c>
      <c r="C398" s="9" t="s">
        <v>4</v>
      </c>
    </row>
    <row r="399" spans="1:3" ht="15.75" thickBot="1" x14ac:dyDescent="0.3">
      <c r="A399" s="10">
        <v>48995</v>
      </c>
      <c r="B399" s="11" t="s">
        <v>3</v>
      </c>
      <c r="C399" s="12" t="s">
        <v>5</v>
      </c>
    </row>
    <row r="400" spans="1:3" ht="15.75" thickBot="1" x14ac:dyDescent="0.3">
      <c r="A400" s="10">
        <v>48996</v>
      </c>
      <c r="B400" s="11" t="s">
        <v>6</v>
      </c>
      <c r="C400" s="12" t="s">
        <v>5</v>
      </c>
    </row>
    <row r="401" spans="1:3" ht="15.75" thickBot="1" x14ac:dyDescent="0.3">
      <c r="A401" s="10">
        <v>49041</v>
      </c>
      <c r="B401" s="11" t="s">
        <v>7</v>
      </c>
      <c r="C401" s="12" t="s">
        <v>8</v>
      </c>
    </row>
    <row r="402" spans="1:3" ht="15.75" thickBot="1" x14ac:dyDescent="0.3">
      <c r="A402" s="10">
        <v>49055</v>
      </c>
      <c r="B402" s="11" t="s">
        <v>7</v>
      </c>
      <c r="C402" s="12" t="s">
        <v>10</v>
      </c>
    </row>
    <row r="403" spans="1:3" ht="15.75" thickBot="1" x14ac:dyDescent="0.3">
      <c r="A403" s="10">
        <v>49065</v>
      </c>
      <c r="B403" s="11" t="s">
        <v>3</v>
      </c>
      <c r="C403" s="12" t="s">
        <v>11</v>
      </c>
    </row>
    <row r="404" spans="1:3" ht="15.75" thickBot="1" x14ac:dyDescent="0.3">
      <c r="A404" s="10">
        <v>49103</v>
      </c>
      <c r="B404" s="11" t="s">
        <v>12</v>
      </c>
      <c r="C404" s="12" t="s">
        <v>13</v>
      </c>
    </row>
    <row r="405" spans="1:3" ht="15.75" thickBot="1" x14ac:dyDescent="0.3">
      <c r="A405" s="10">
        <v>49194</v>
      </c>
      <c r="B405" s="11" t="s">
        <v>12</v>
      </c>
      <c r="C405" s="12" t="s">
        <v>14</v>
      </c>
    </row>
    <row r="406" spans="1:3" ht="15.75" thickBot="1" x14ac:dyDescent="0.3">
      <c r="A406" s="10">
        <v>49229</v>
      </c>
      <c r="B406" s="11" t="s">
        <v>12</v>
      </c>
      <c r="C406" s="12" t="s">
        <v>15</v>
      </c>
    </row>
    <row r="407" spans="1:3" ht="15.75" thickBot="1" x14ac:dyDescent="0.3">
      <c r="A407" s="10">
        <v>49250</v>
      </c>
      <c r="B407" s="11" t="s">
        <v>12</v>
      </c>
      <c r="C407" s="12" t="s">
        <v>16</v>
      </c>
    </row>
    <row r="408" spans="1:3" ht="15.75" thickBot="1" x14ac:dyDescent="0.3">
      <c r="A408" s="10">
        <v>49263</v>
      </c>
      <c r="B408" s="11" t="s">
        <v>20</v>
      </c>
      <c r="C408" s="12" t="s">
        <v>17</v>
      </c>
    </row>
    <row r="409" spans="1:3" ht="15.75" thickBot="1" x14ac:dyDescent="0.3">
      <c r="A409" s="10">
        <v>49303</v>
      </c>
      <c r="B409" s="11" t="s">
        <v>3</v>
      </c>
      <c r="C409" s="12" t="s">
        <v>18</v>
      </c>
    </row>
    <row r="410" spans="1:3" ht="15.75" thickBot="1" x14ac:dyDescent="0.3">
      <c r="A410" s="13">
        <v>49310</v>
      </c>
      <c r="B410" s="14" t="s">
        <v>3</v>
      </c>
      <c r="C410" s="15" t="s">
        <v>4</v>
      </c>
    </row>
    <row r="411" spans="1:3" ht="15.75" thickBot="1" x14ac:dyDescent="0.3">
      <c r="A411" s="4">
        <v>49345</v>
      </c>
      <c r="B411" s="5" t="s">
        <v>3</v>
      </c>
      <c r="C411" s="6" t="s">
        <v>5</v>
      </c>
    </row>
    <row r="412" spans="1:3" ht="15.75" thickBot="1" x14ac:dyDescent="0.3">
      <c r="A412" s="4">
        <v>49346</v>
      </c>
      <c r="B412" s="5" t="s">
        <v>6</v>
      </c>
      <c r="C412" s="6" t="s">
        <v>5</v>
      </c>
    </row>
    <row r="413" spans="1:3" ht="15.75" thickBot="1" x14ac:dyDescent="0.3">
      <c r="A413" s="4">
        <v>49391</v>
      </c>
      <c r="B413" s="5" t="s">
        <v>7</v>
      </c>
      <c r="C413" s="6" t="s">
        <v>8</v>
      </c>
    </row>
    <row r="414" spans="1:3" ht="15.75" thickBot="1" x14ac:dyDescent="0.3">
      <c r="A414" s="4">
        <v>49420</v>
      </c>
      <c r="B414" s="5" t="s">
        <v>9</v>
      </c>
      <c r="C414" s="6" t="s">
        <v>10</v>
      </c>
    </row>
    <row r="415" spans="1:3" ht="15.75" thickBot="1" x14ac:dyDescent="0.3">
      <c r="A415" s="4">
        <v>49430</v>
      </c>
      <c r="B415" s="5" t="s">
        <v>6</v>
      </c>
      <c r="C415" s="6" t="s">
        <v>11</v>
      </c>
    </row>
    <row r="416" spans="1:3" ht="15.75" thickBot="1" x14ac:dyDescent="0.3">
      <c r="A416" s="4">
        <v>49453</v>
      </c>
      <c r="B416" s="5" t="s">
        <v>12</v>
      </c>
      <c r="C416" s="6" t="s">
        <v>13</v>
      </c>
    </row>
    <row r="417" spans="1:3" ht="15.75" thickBot="1" x14ac:dyDescent="0.3">
      <c r="A417" s="4">
        <v>49559</v>
      </c>
      <c r="B417" s="5" t="s">
        <v>7</v>
      </c>
      <c r="C417" s="6" t="s">
        <v>14</v>
      </c>
    </row>
    <row r="418" spans="1:3" ht="15.75" thickBot="1" x14ac:dyDescent="0.3">
      <c r="A418" s="4">
        <v>49594</v>
      </c>
      <c r="B418" s="5" t="s">
        <v>7</v>
      </c>
      <c r="C418" s="6" t="s">
        <v>15</v>
      </c>
    </row>
    <row r="419" spans="1:3" ht="15.75" thickBot="1" x14ac:dyDescent="0.3">
      <c r="A419" s="4">
        <v>49615</v>
      </c>
      <c r="B419" s="5" t="s">
        <v>7</v>
      </c>
      <c r="C419" s="6" t="s">
        <v>16</v>
      </c>
    </row>
    <row r="420" spans="1:3" ht="15.75" thickBot="1" x14ac:dyDescent="0.3">
      <c r="A420" s="4">
        <v>49628</v>
      </c>
      <c r="B420" s="5" t="s">
        <v>12</v>
      </c>
      <c r="C420" s="6" t="s">
        <v>17</v>
      </c>
    </row>
    <row r="421" spans="1:3" ht="15.75" thickBot="1" x14ac:dyDescent="0.3">
      <c r="A421" s="4">
        <v>49668</v>
      </c>
      <c r="B421" s="5" t="s">
        <v>6</v>
      </c>
      <c r="C421" s="6" t="s">
        <v>18</v>
      </c>
    </row>
    <row r="422" spans="1:3" ht="15.75" thickBot="1" x14ac:dyDescent="0.3">
      <c r="A422" s="7">
        <v>49675</v>
      </c>
      <c r="B422" s="8" t="s">
        <v>6</v>
      </c>
      <c r="C422" s="9" t="s">
        <v>4</v>
      </c>
    </row>
    <row r="423" spans="1:3" ht="15.75" thickBot="1" x14ac:dyDescent="0.3">
      <c r="A423" s="10">
        <v>49730</v>
      </c>
      <c r="B423" s="11" t="s">
        <v>3</v>
      </c>
      <c r="C423" s="12" t="s">
        <v>5</v>
      </c>
    </row>
    <row r="424" spans="1:3" ht="15.75" thickBot="1" x14ac:dyDescent="0.3">
      <c r="A424" s="10">
        <v>49731</v>
      </c>
      <c r="B424" s="11" t="s">
        <v>6</v>
      </c>
      <c r="C424" s="12" t="s">
        <v>5</v>
      </c>
    </row>
    <row r="425" spans="1:3" ht="15.75" thickBot="1" x14ac:dyDescent="0.3">
      <c r="A425" s="10">
        <v>49776</v>
      </c>
      <c r="B425" s="11" t="s">
        <v>7</v>
      </c>
      <c r="C425" s="12" t="s">
        <v>8</v>
      </c>
    </row>
    <row r="426" spans="1:3" ht="15.75" thickBot="1" x14ac:dyDescent="0.3">
      <c r="A426" s="10">
        <v>49786</v>
      </c>
      <c r="B426" s="11" t="s">
        <v>3</v>
      </c>
      <c r="C426" s="12" t="s">
        <v>10</v>
      </c>
    </row>
    <row r="427" spans="1:3" ht="15.75" thickBot="1" x14ac:dyDescent="0.3">
      <c r="A427" s="10">
        <v>49796</v>
      </c>
      <c r="B427" s="11" t="s">
        <v>12</v>
      </c>
      <c r="C427" s="12" t="s">
        <v>11</v>
      </c>
    </row>
    <row r="428" spans="1:3" ht="15.75" thickBot="1" x14ac:dyDescent="0.3">
      <c r="A428" s="10">
        <v>49838</v>
      </c>
      <c r="B428" s="11" t="s">
        <v>12</v>
      </c>
      <c r="C428" s="12" t="s">
        <v>13</v>
      </c>
    </row>
    <row r="429" spans="1:3" ht="15.75" thickBot="1" x14ac:dyDescent="0.3">
      <c r="A429" s="10">
        <v>49925</v>
      </c>
      <c r="B429" s="11" t="s">
        <v>19</v>
      </c>
      <c r="C429" s="12" t="s">
        <v>14</v>
      </c>
    </row>
    <row r="430" spans="1:3" ht="15.75" thickBot="1" x14ac:dyDescent="0.3">
      <c r="A430" s="10">
        <v>49960</v>
      </c>
      <c r="B430" s="11" t="s">
        <v>19</v>
      </c>
      <c r="C430" s="12" t="s">
        <v>15</v>
      </c>
    </row>
    <row r="431" spans="1:3" ht="15.75" thickBot="1" x14ac:dyDescent="0.3">
      <c r="A431" s="10">
        <v>49981</v>
      </c>
      <c r="B431" s="11" t="s">
        <v>19</v>
      </c>
      <c r="C431" s="12" t="s">
        <v>16</v>
      </c>
    </row>
    <row r="432" spans="1:3" ht="15.75" thickBot="1" x14ac:dyDescent="0.3">
      <c r="A432" s="10">
        <v>49994</v>
      </c>
      <c r="B432" s="11" t="s">
        <v>9</v>
      </c>
      <c r="C432" s="12" t="s">
        <v>17</v>
      </c>
    </row>
    <row r="433" spans="1:3" ht="15.75" thickBot="1" x14ac:dyDescent="0.3">
      <c r="A433" s="10">
        <v>50034</v>
      </c>
      <c r="B433" s="11" t="s">
        <v>12</v>
      </c>
      <c r="C433" s="12" t="s">
        <v>18</v>
      </c>
    </row>
    <row r="434" spans="1:3" ht="15.75" thickBot="1" x14ac:dyDescent="0.3">
      <c r="A434" s="13">
        <v>50041</v>
      </c>
      <c r="B434" s="14" t="s">
        <v>12</v>
      </c>
      <c r="C434" s="15" t="s">
        <v>4</v>
      </c>
    </row>
    <row r="435" spans="1:3" ht="15.75" thickBot="1" x14ac:dyDescent="0.3">
      <c r="A435" s="4">
        <v>50087</v>
      </c>
      <c r="B435" s="5" t="s">
        <v>3</v>
      </c>
      <c r="C435" s="6" t="s">
        <v>5</v>
      </c>
    </row>
    <row r="436" spans="1:3" ht="15.75" thickBot="1" x14ac:dyDescent="0.3">
      <c r="A436" s="4">
        <v>50088</v>
      </c>
      <c r="B436" s="5" t="s">
        <v>6</v>
      </c>
      <c r="C436" s="6" t="s">
        <v>5</v>
      </c>
    </row>
    <row r="437" spans="1:3" ht="15.75" thickBot="1" x14ac:dyDescent="0.3">
      <c r="A437" s="4">
        <v>50133</v>
      </c>
      <c r="B437" s="5" t="s">
        <v>7</v>
      </c>
      <c r="C437" s="6" t="s">
        <v>8</v>
      </c>
    </row>
    <row r="438" spans="1:3" ht="15.75" thickBot="1" x14ac:dyDescent="0.3">
      <c r="A438" s="4">
        <v>50151</v>
      </c>
      <c r="B438" s="5" t="s">
        <v>6</v>
      </c>
      <c r="C438" s="6" t="s">
        <v>10</v>
      </c>
    </row>
    <row r="439" spans="1:3" ht="15.75" thickBot="1" x14ac:dyDescent="0.3">
      <c r="A439" s="4">
        <v>50161</v>
      </c>
      <c r="B439" s="5" t="s">
        <v>7</v>
      </c>
      <c r="C439" s="6" t="s">
        <v>11</v>
      </c>
    </row>
    <row r="440" spans="1:3" ht="15.75" thickBot="1" x14ac:dyDescent="0.3">
      <c r="A440" s="4">
        <v>50195</v>
      </c>
      <c r="B440" s="5" t="s">
        <v>12</v>
      </c>
      <c r="C440" s="6" t="s">
        <v>13</v>
      </c>
    </row>
    <row r="441" spans="1:3" ht="15.75" thickBot="1" x14ac:dyDescent="0.3">
      <c r="A441" s="4">
        <v>50290</v>
      </c>
      <c r="B441" s="5" t="s">
        <v>3</v>
      </c>
      <c r="C441" s="6" t="s">
        <v>14</v>
      </c>
    </row>
    <row r="442" spans="1:3" ht="15.75" thickBot="1" x14ac:dyDescent="0.3">
      <c r="A442" s="4">
        <v>50325</v>
      </c>
      <c r="B442" s="5" t="s">
        <v>3</v>
      </c>
      <c r="C442" s="6" t="s">
        <v>15</v>
      </c>
    </row>
    <row r="443" spans="1:3" ht="15.75" thickBot="1" x14ac:dyDescent="0.3">
      <c r="A443" s="4">
        <v>50346</v>
      </c>
      <c r="B443" s="5" t="s">
        <v>3</v>
      </c>
      <c r="C443" s="6" t="s">
        <v>16</v>
      </c>
    </row>
    <row r="444" spans="1:3" ht="15.75" thickBot="1" x14ac:dyDescent="0.3">
      <c r="A444" s="4">
        <v>50359</v>
      </c>
      <c r="B444" s="5" t="s">
        <v>19</v>
      </c>
      <c r="C444" s="6" t="s">
        <v>17</v>
      </c>
    </row>
    <row r="445" spans="1:3" ht="15.75" thickBot="1" x14ac:dyDescent="0.3">
      <c r="A445" s="4">
        <v>50399</v>
      </c>
      <c r="B445" s="5" t="s">
        <v>7</v>
      </c>
      <c r="C445" s="6" t="s">
        <v>18</v>
      </c>
    </row>
    <row r="446" spans="1:3" ht="15.75" thickBot="1" x14ac:dyDescent="0.3">
      <c r="A446" s="7">
        <v>50406</v>
      </c>
      <c r="B446" s="8" t="s">
        <v>7</v>
      </c>
      <c r="C446" s="9" t="s">
        <v>4</v>
      </c>
    </row>
    <row r="447" spans="1:3" ht="15.75" thickBot="1" x14ac:dyDescent="0.3">
      <c r="A447" s="10">
        <v>50472</v>
      </c>
      <c r="B447" s="11" t="s">
        <v>3</v>
      </c>
      <c r="C447" s="12" t="s">
        <v>5</v>
      </c>
    </row>
    <row r="448" spans="1:3" ht="15.75" thickBot="1" x14ac:dyDescent="0.3">
      <c r="A448" s="10">
        <v>50473</v>
      </c>
      <c r="B448" s="11" t="s">
        <v>6</v>
      </c>
      <c r="C448" s="12" t="s">
        <v>5</v>
      </c>
    </row>
    <row r="449" spans="1:3" ht="15.75" thickBot="1" x14ac:dyDescent="0.3">
      <c r="A449" s="10">
        <v>50516</v>
      </c>
      <c r="B449" s="11" t="s">
        <v>20</v>
      </c>
      <c r="C449" s="12" t="s">
        <v>10</v>
      </c>
    </row>
    <row r="450" spans="1:3" ht="15.75" thickBot="1" x14ac:dyDescent="0.3">
      <c r="A450" s="10">
        <v>50518</v>
      </c>
      <c r="B450" s="11" t="s">
        <v>7</v>
      </c>
      <c r="C450" s="12" t="s">
        <v>8</v>
      </c>
    </row>
    <row r="451" spans="1:3" ht="15.75" thickBot="1" x14ac:dyDescent="0.3">
      <c r="A451" s="10">
        <v>50526</v>
      </c>
      <c r="B451" s="11" t="s">
        <v>9</v>
      </c>
      <c r="C451" s="12" t="s">
        <v>11</v>
      </c>
    </row>
    <row r="452" spans="1:3" ht="15.75" thickBot="1" x14ac:dyDescent="0.3">
      <c r="A452" s="10">
        <v>50580</v>
      </c>
      <c r="B452" s="11" t="s">
        <v>12</v>
      </c>
      <c r="C452" s="12" t="s">
        <v>13</v>
      </c>
    </row>
    <row r="453" spans="1:3" ht="15.75" thickBot="1" x14ac:dyDescent="0.3">
      <c r="A453" s="10">
        <v>50655</v>
      </c>
      <c r="B453" s="11" t="s">
        <v>6</v>
      </c>
      <c r="C453" s="12" t="s">
        <v>14</v>
      </c>
    </row>
    <row r="454" spans="1:3" ht="15.75" thickBot="1" x14ac:dyDescent="0.3">
      <c r="A454" s="10">
        <v>50690</v>
      </c>
      <c r="B454" s="11" t="s">
        <v>6</v>
      </c>
      <c r="C454" s="12" t="s">
        <v>15</v>
      </c>
    </row>
    <row r="455" spans="1:3" ht="15.75" thickBot="1" x14ac:dyDescent="0.3">
      <c r="A455" s="10">
        <v>50711</v>
      </c>
      <c r="B455" s="11" t="s">
        <v>6</v>
      </c>
      <c r="C455" s="12" t="s">
        <v>16</v>
      </c>
    </row>
    <row r="456" spans="1:3" ht="15.75" thickBot="1" x14ac:dyDescent="0.3">
      <c r="A456" s="10">
        <v>50724</v>
      </c>
      <c r="B456" s="11" t="s">
        <v>3</v>
      </c>
      <c r="C456" s="12" t="s">
        <v>17</v>
      </c>
    </row>
    <row r="457" spans="1:3" ht="15.75" thickBot="1" x14ac:dyDescent="0.3">
      <c r="A457" s="10">
        <v>50764</v>
      </c>
      <c r="B457" s="11" t="s">
        <v>9</v>
      </c>
      <c r="C457" s="12" t="s">
        <v>18</v>
      </c>
    </row>
    <row r="458" spans="1:3" ht="15.75" thickBot="1" x14ac:dyDescent="0.3">
      <c r="A458" s="13">
        <v>50771</v>
      </c>
      <c r="B458" s="14" t="s">
        <v>9</v>
      </c>
      <c r="C458" s="15" t="s">
        <v>4</v>
      </c>
    </row>
    <row r="459" spans="1:3" ht="15.75" thickBot="1" x14ac:dyDescent="0.3">
      <c r="A459" s="4">
        <v>50822</v>
      </c>
      <c r="B459" s="5" t="s">
        <v>3</v>
      </c>
      <c r="C459" s="6" t="s">
        <v>5</v>
      </c>
    </row>
    <row r="460" spans="1:3" ht="15.75" thickBot="1" x14ac:dyDescent="0.3">
      <c r="A460" s="4">
        <v>50823</v>
      </c>
      <c r="B460" s="5" t="s">
        <v>6</v>
      </c>
      <c r="C460" s="6" t="s">
        <v>5</v>
      </c>
    </row>
    <row r="461" spans="1:3" ht="15.75" thickBot="1" x14ac:dyDescent="0.3">
      <c r="A461" s="4">
        <v>50868</v>
      </c>
      <c r="B461" s="5" t="s">
        <v>7</v>
      </c>
      <c r="C461" s="6" t="s">
        <v>8</v>
      </c>
    </row>
    <row r="462" spans="1:3" ht="15.75" thickBot="1" x14ac:dyDescent="0.3">
      <c r="A462" s="4">
        <v>50881</v>
      </c>
      <c r="B462" s="5" t="s">
        <v>12</v>
      </c>
      <c r="C462" s="6" t="s">
        <v>10</v>
      </c>
    </row>
    <row r="463" spans="1:3" ht="15.75" thickBot="1" x14ac:dyDescent="0.3">
      <c r="A463" s="4">
        <v>50891</v>
      </c>
      <c r="B463" s="5" t="s">
        <v>19</v>
      </c>
      <c r="C463" s="6" t="s">
        <v>11</v>
      </c>
    </row>
    <row r="464" spans="1:3" ht="15.75" thickBot="1" x14ac:dyDescent="0.3">
      <c r="A464" s="4">
        <v>50930</v>
      </c>
      <c r="B464" s="5" t="s">
        <v>12</v>
      </c>
      <c r="C464" s="6" t="s">
        <v>13</v>
      </c>
    </row>
    <row r="465" spans="1:3" ht="15.75" thickBot="1" x14ac:dyDescent="0.3">
      <c r="A465" s="4">
        <v>51020</v>
      </c>
      <c r="B465" s="5" t="s">
        <v>20</v>
      </c>
      <c r="C465" s="6" t="s">
        <v>14</v>
      </c>
    </row>
    <row r="466" spans="1:3" ht="15.75" thickBot="1" x14ac:dyDescent="0.3">
      <c r="A466" s="4">
        <v>51055</v>
      </c>
      <c r="B466" s="5" t="s">
        <v>20</v>
      </c>
      <c r="C466" s="6" t="s">
        <v>15</v>
      </c>
    </row>
    <row r="467" spans="1:3" ht="15.75" thickBot="1" x14ac:dyDescent="0.3">
      <c r="A467" s="4">
        <v>51076</v>
      </c>
      <c r="B467" s="5" t="s">
        <v>20</v>
      </c>
      <c r="C467" s="6" t="s">
        <v>16</v>
      </c>
    </row>
    <row r="468" spans="1:3" ht="15.75" thickBot="1" x14ac:dyDescent="0.3">
      <c r="A468" s="4">
        <v>51089</v>
      </c>
      <c r="B468" s="5" t="s">
        <v>6</v>
      </c>
      <c r="C468" s="6" t="s">
        <v>17</v>
      </c>
    </row>
    <row r="469" spans="1:3" ht="15.75" thickBot="1" x14ac:dyDescent="0.3">
      <c r="A469" s="4">
        <v>51129</v>
      </c>
      <c r="B469" s="5" t="s">
        <v>19</v>
      </c>
      <c r="C469" s="6" t="s">
        <v>18</v>
      </c>
    </row>
    <row r="470" spans="1:3" ht="15.75" thickBot="1" x14ac:dyDescent="0.3">
      <c r="A470" s="7">
        <v>51136</v>
      </c>
      <c r="B470" s="8" t="s">
        <v>19</v>
      </c>
      <c r="C470" s="9" t="s">
        <v>4</v>
      </c>
    </row>
    <row r="471" spans="1:3" ht="15.75" thickBot="1" x14ac:dyDescent="0.3">
      <c r="A471" s="10">
        <v>51179</v>
      </c>
      <c r="B471" s="11" t="s">
        <v>3</v>
      </c>
      <c r="C471" s="12" t="s">
        <v>5</v>
      </c>
    </row>
    <row r="472" spans="1:3" ht="15.75" thickBot="1" x14ac:dyDescent="0.3">
      <c r="A472" s="10">
        <v>51180</v>
      </c>
      <c r="B472" s="11" t="s">
        <v>6</v>
      </c>
      <c r="C472" s="12" t="s">
        <v>5</v>
      </c>
    </row>
    <row r="473" spans="1:3" ht="15.75" thickBot="1" x14ac:dyDescent="0.3">
      <c r="A473" s="10">
        <v>51225</v>
      </c>
      <c r="B473" s="11" t="s">
        <v>7</v>
      </c>
      <c r="C473" s="12" t="s">
        <v>8</v>
      </c>
    </row>
    <row r="474" spans="1:3" ht="15.75" thickBot="1" x14ac:dyDescent="0.3">
      <c r="A474" s="10">
        <v>51247</v>
      </c>
      <c r="B474" s="11" t="s">
        <v>9</v>
      </c>
      <c r="C474" s="12" t="s">
        <v>10</v>
      </c>
    </row>
    <row r="475" spans="1:3" ht="15.75" thickBot="1" x14ac:dyDescent="0.3">
      <c r="A475" s="10">
        <v>51257</v>
      </c>
      <c r="B475" s="11" t="s">
        <v>6</v>
      </c>
      <c r="C475" s="12" t="s">
        <v>11</v>
      </c>
    </row>
    <row r="476" spans="1:3" ht="15.75" thickBot="1" x14ac:dyDescent="0.3">
      <c r="A476" s="10">
        <v>51287</v>
      </c>
      <c r="B476" s="11" t="s">
        <v>12</v>
      </c>
      <c r="C476" s="12" t="s">
        <v>13</v>
      </c>
    </row>
    <row r="477" spans="1:3" ht="15.75" thickBot="1" x14ac:dyDescent="0.3">
      <c r="A477" s="10">
        <v>51386</v>
      </c>
      <c r="B477" s="11" t="s">
        <v>7</v>
      </c>
      <c r="C477" s="12" t="s">
        <v>14</v>
      </c>
    </row>
    <row r="478" spans="1:3" ht="15.75" thickBot="1" x14ac:dyDescent="0.3">
      <c r="A478" s="10">
        <v>51421</v>
      </c>
      <c r="B478" s="11" t="s">
        <v>7</v>
      </c>
      <c r="C478" s="12" t="s">
        <v>15</v>
      </c>
    </row>
    <row r="479" spans="1:3" ht="15.75" thickBot="1" x14ac:dyDescent="0.3">
      <c r="A479" s="10">
        <v>51442</v>
      </c>
      <c r="B479" s="11" t="s">
        <v>7</v>
      </c>
      <c r="C479" s="12" t="s">
        <v>16</v>
      </c>
    </row>
    <row r="480" spans="1:3" ht="15.75" thickBot="1" x14ac:dyDescent="0.3">
      <c r="A480" s="10">
        <v>51455</v>
      </c>
      <c r="B480" s="11" t="s">
        <v>12</v>
      </c>
      <c r="C480" s="12" t="s">
        <v>17</v>
      </c>
    </row>
    <row r="481" spans="1:3" ht="15.75" thickBot="1" x14ac:dyDescent="0.3">
      <c r="A481" s="10">
        <v>51495</v>
      </c>
      <c r="B481" s="11" t="s">
        <v>6</v>
      </c>
      <c r="C481" s="12" t="s">
        <v>18</v>
      </c>
    </row>
    <row r="482" spans="1:3" ht="15.75" thickBot="1" x14ac:dyDescent="0.3">
      <c r="A482" s="13">
        <v>51502</v>
      </c>
      <c r="B482" s="14" t="s">
        <v>6</v>
      </c>
      <c r="C482" s="15" t="s">
        <v>4</v>
      </c>
    </row>
    <row r="483" spans="1:3" ht="15.75" thickBot="1" x14ac:dyDescent="0.3">
      <c r="A483" s="4">
        <v>51564</v>
      </c>
      <c r="B483" s="5" t="s">
        <v>3</v>
      </c>
      <c r="C483" s="6" t="s">
        <v>5</v>
      </c>
    </row>
    <row r="484" spans="1:3" ht="15.75" thickBot="1" x14ac:dyDescent="0.3">
      <c r="A484" s="4">
        <v>51565</v>
      </c>
      <c r="B484" s="5" t="s">
        <v>6</v>
      </c>
      <c r="C484" s="6" t="s">
        <v>5</v>
      </c>
    </row>
    <row r="485" spans="1:3" ht="15.75" thickBot="1" x14ac:dyDescent="0.3">
      <c r="A485" s="4">
        <v>51610</v>
      </c>
      <c r="B485" s="5" t="s">
        <v>7</v>
      </c>
      <c r="C485" s="6" t="s">
        <v>8</v>
      </c>
    </row>
    <row r="486" spans="1:3" ht="15.75" thickBot="1" x14ac:dyDescent="0.3">
      <c r="A486" s="4">
        <v>51612</v>
      </c>
      <c r="B486" s="5" t="s">
        <v>19</v>
      </c>
      <c r="C486" s="6" t="s">
        <v>10</v>
      </c>
    </row>
    <row r="487" spans="1:3" ht="15.75" thickBot="1" x14ac:dyDescent="0.3">
      <c r="A487" s="4">
        <v>51622</v>
      </c>
      <c r="B487" s="5" t="s">
        <v>20</v>
      </c>
      <c r="C487" s="6" t="s">
        <v>11</v>
      </c>
    </row>
    <row r="488" spans="1:3" ht="15.75" thickBot="1" x14ac:dyDescent="0.3">
      <c r="A488" s="4">
        <v>51672</v>
      </c>
      <c r="B488" s="5" t="s">
        <v>12</v>
      </c>
      <c r="C488" s="6" t="s">
        <v>13</v>
      </c>
    </row>
    <row r="489" spans="1:3" ht="15.75" thickBot="1" x14ac:dyDescent="0.3">
      <c r="A489" s="4">
        <v>51751</v>
      </c>
      <c r="B489" s="5" t="s">
        <v>9</v>
      </c>
      <c r="C489" s="6" t="s">
        <v>14</v>
      </c>
    </row>
    <row r="490" spans="1:3" ht="15.75" thickBot="1" x14ac:dyDescent="0.3">
      <c r="A490" s="4">
        <v>51786</v>
      </c>
      <c r="B490" s="5" t="s">
        <v>9</v>
      </c>
      <c r="C490" s="6" t="s">
        <v>15</v>
      </c>
    </row>
    <row r="491" spans="1:3" ht="15.75" thickBot="1" x14ac:dyDescent="0.3">
      <c r="A491" s="4">
        <v>51807</v>
      </c>
      <c r="B491" s="5" t="s">
        <v>9</v>
      </c>
      <c r="C491" s="6" t="s">
        <v>16</v>
      </c>
    </row>
    <row r="492" spans="1:3" ht="15.75" thickBot="1" x14ac:dyDescent="0.3">
      <c r="A492" s="4">
        <v>51820</v>
      </c>
      <c r="B492" s="5" t="s">
        <v>7</v>
      </c>
      <c r="C492" s="6" t="s">
        <v>17</v>
      </c>
    </row>
    <row r="493" spans="1:3" ht="15.75" thickBot="1" x14ac:dyDescent="0.3">
      <c r="A493" s="4">
        <v>51860</v>
      </c>
      <c r="B493" s="5" t="s">
        <v>20</v>
      </c>
      <c r="C493" s="6" t="s">
        <v>18</v>
      </c>
    </row>
    <row r="494" spans="1:3" ht="15.75" thickBot="1" x14ac:dyDescent="0.3">
      <c r="A494" s="7">
        <v>51867</v>
      </c>
      <c r="B494" s="8" t="s">
        <v>20</v>
      </c>
      <c r="C494" s="9" t="s">
        <v>4</v>
      </c>
    </row>
    <row r="495" spans="1:3" ht="15.75" thickBot="1" x14ac:dyDescent="0.3">
      <c r="A495" s="10">
        <v>51914</v>
      </c>
      <c r="B495" s="11" t="s">
        <v>3</v>
      </c>
      <c r="C495" s="12" t="s">
        <v>5</v>
      </c>
    </row>
    <row r="496" spans="1:3" ht="15.75" thickBot="1" x14ac:dyDescent="0.3">
      <c r="A496" s="10">
        <v>51915</v>
      </c>
      <c r="B496" s="11" t="s">
        <v>6</v>
      </c>
      <c r="C496" s="12" t="s">
        <v>5</v>
      </c>
    </row>
    <row r="497" spans="1:3" ht="15.75" thickBot="1" x14ac:dyDescent="0.3">
      <c r="A497" s="10">
        <v>51960</v>
      </c>
      <c r="B497" s="11" t="s">
        <v>7</v>
      </c>
      <c r="C497" s="12" t="s">
        <v>8</v>
      </c>
    </row>
    <row r="498" spans="1:3" ht="15.75" thickBot="1" x14ac:dyDescent="0.3">
      <c r="A498" s="10">
        <v>51977</v>
      </c>
      <c r="B498" s="11" t="s">
        <v>3</v>
      </c>
      <c r="C498" s="12" t="s">
        <v>10</v>
      </c>
    </row>
    <row r="499" spans="1:3" ht="15.75" thickBot="1" x14ac:dyDescent="0.3">
      <c r="A499" s="10">
        <v>51987</v>
      </c>
      <c r="B499" s="11" t="s">
        <v>12</v>
      </c>
      <c r="C499" s="12" t="s">
        <v>11</v>
      </c>
    </row>
    <row r="500" spans="1:3" ht="15.75" thickBot="1" x14ac:dyDescent="0.3">
      <c r="A500" s="10">
        <v>52022</v>
      </c>
      <c r="B500" s="11" t="s">
        <v>12</v>
      </c>
      <c r="C500" s="12" t="s">
        <v>13</v>
      </c>
    </row>
    <row r="501" spans="1:3" ht="15.75" thickBot="1" x14ac:dyDescent="0.3">
      <c r="A501" s="10">
        <v>52116</v>
      </c>
      <c r="B501" s="11" t="s">
        <v>19</v>
      </c>
      <c r="C501" s="12" t="s">
        <v>14</v>
      </c>
    </row>
    <row r="502" spans="1:3" ht="15.75" thickBot="1" x14ac:dyDescent="0.3">
      <c r="A502" s="10">
        <v>52151</v>
      </c>
      <c r="B502" s="11" t="s">
        <v>19</v>
      </c>
      <c r="C502" s="12" t="s">
        <v>15</v>
      </c>
    </row>
    <row r="503" spans="1:3" ht="15.75" thickBot="1" x14ac:dyDescent="0.3">
      <c r="A503" s="10">
        <v>52172</v>
      </c>
      <c r="B503" s="11" t="s">
        <v>19</v>
      </c>
      <c r="C503" s="12" t="s">
        <v>16</v>
      </c>
    </row>
    <row r="504" spans="1:3" ht="15.75" thickBot="1" x14ac:dyDescent="0.3">
      <c r="A504" s="10">
        <v>52185</v>
      </c>
      <c r="B504" s="11" t="s">
        <v>9</v>
      </c>
      <c r="C504" s="12" t="s">
        <v>17</v>
      </c>
    </row>
    <row r="505" spans="1:3" ht="15.75" thickBot="1" x14ac:dyDescent="0.3">
      <c r="A505" s="10">
        <v>52225</v>
      </c>
      <c r="B505" s="11" t="s">
        <v>12</v>
      </c>
      <c r="C505" s="12" t="s">
        <v>18</v>
      </c>
    </row>
    <row r="506" spans="1:3" ht="15.75" thickBot="1" x14ac:dyDescent="0.3">
      <c r="A506" s="13">
        <v>52232</v>
      </c>
      <c r="B506" s="14" t="s">
        <v>12</v>
      </c>
      <c r="C506" s="15" t="s">
        <v>4</v>
      </c>
    </row>
    <row r="507" spans="1:3" ht="15.75" thickBot="1" x14ac:dyDescent="0.3">
      <c r="A507" s="4">
        <v>52271</v>
      </c>
      <c r="B507" s="5" t="s">
        <v>3</v>
      </c>
      <c r="C507" s="6" t="s">
        <v>5</v>
      </c>
    </row>
    <row r="508" spans="1:3" ht="15.75" thickBot="1" x14ac:dyDescent="0.3">
      <c r="A508" s="4">
        <v>52272</v>
      </c>
      <c r="B508" s="5" t="s">
        <v>6</v>
      </c>
      <c r="C508" s="6" t="s">
        <v>5</v>
      </c>
    </row>
    <row r="509" spans="1:3" ht="15.75" thickBot="1" x14ac:dyDescent="0.3">
      <c r="A509" s="4">
        <v>52317</v>
      </c>
      <c r="B509" s="5" t="s">
        <v>7</v>
      </c>
      <c r="C509" s="6" t="s">
        <v>8</v>
      </c>
    </row>
    <row r="510" spans="1:3" ht="15.75" thickBot="1" x14ac:dyDescent="0.3">
      <c r="A510" s="4">
        <v>52342</v>
      </c>
      <c r="B510" s="5" t="s">
        <v>6</v>
      </c>
      <c r="C510" s="6" t="s">
        <v>10</v>
      </c>
    </row>
    <row r="511" spans="1:3" ht="15.75" thickBot="1" x14ac:dyDescent="0.3">
      <c r="A511" s="4">
        <v>52352</v>
      </c>
      <c r="B511" s="5" t="s">
        <v>7</v>
      </c>
      <c r="C511" s="6" t="s">
        <v>11</v>
      </c>
    </row>
    <row r="512" spans="1:3" ht="15.75" thickBot="1" x14ac:dyDescent="0.3">
      <c r="A512" s="4">
        <v>52379</v>
      </c>
      <c r="B512" s="5" t="s">
        <v>12</v>
      </c>
      <c r="C512" s="6" t="s">
        <v>13</v>
      </c>
    </row>
    <row r="513" spans="1:3" ht="15.75" thickBot="1" x14ac:dyDescent="0.3">
      <c r="A513" s="4">
        <v>52481</v>
      </c>
      <c r="B513" s="5" t="s">
        <v>3</v>
      </c>
      <c r="C513" s="6" t="s">
        <v>14</v>
      </c>
    </row>
    <row r="514" spans="1:3" ht="15.75" thickBot="1" x14ac:dyDescent="0.3">
      <c r="A514" s="4">
        <v>52516</v>
      </c>
      <c r="B514" s="5" t="s">
        <v>3</v>
      </c>
      <c r="C514" s="6" t="s">
        <v>15</v>
      </c>
    </row>
    <row r="515" spans="1:3" ht="15.75" thickBot="1" x14ac:dyDescent="0.3">
      <c r="A515" s="4">
        <v>52537</v>
      </c>
      <c r="B515" s="5" t="s">
        <v>3</v>
      </c>
      <c r="C515" s="6" t="s">
        <v>16</v>
      </c>
    </row>
    <row r="516" spans="1:3" ht="15.75" thickBot="1" x14ac:dyDescent="0.3">
      <c r="A516" s="4">
        <v>52550</v>
      </c>
      <c r="B516" s="5" t="s">
        <v>19</v>
      </c>
      <c r="C516" s="6" t="s">
        <v>17</v>
      </c>
    </row>
    <row r="517" spans="1:3" ht="15.75" thickBot="1" x14ac:dyDescent="0.3">
      <c r="A517" s="4">
        <v>52590</v>
      </c>
      <c r="B517" s="5" t="s">
        <v>7</v>
      </c>
      <c r="C517" s="6" t="s">
        <v>18</v>
      </c>
    </row>
    <row r="518" spans="1:3" ht="15.75" thickBot="1" x14ac:dyDescent="0.3">
      <c r="A518" s="7">
        <v>52597</v>
      </c>
      <c r="B518" s="8" t="s">
        <v>7</v>
      </c>
      <c r="C518" s="9" t="s">
        <v>4</v>
      </c>
    </row>
    <row r="519" spans="1:3" ht="15.75" thickBot="1" x14ac:dyDescent="0.3">
      <c r="A519" s="10">
        <v>52656</v>
      </c>
      <c r="B519" s="11" t="s">
        <v>3</v>
      </c>
      <c r="C519" s="12" t="s">
        <v>5</v>
      </c>
    </row>
    <row r="520" spans="1:3" ht="15.75" thickBot="1" x14ac:dyDescent="0.3">
      <c r="A520" s="10">
        <v>52657</v>
      </c>
      <c r="B520" s="11" t="s">
        <v>6</v>
      </c>
      <c r="C520" s="12" t="s">
        <v>5</v>
      </c>
    </row>
    <row r="521" spans="1:3" ht="15.75" thickBot="1" x14ac:dyDescent="0.3">
      <c r="A521" s="10">
        <v>52702</v>
      </c>
      <c r="B521" s="11" t="s">
        <v>7</v>
      </c>
      <c r="C521" s="12" t="s">
        <v>8</v>
      </c>
    </row>
    <row r="522" spans="1:3" ht="15.75" thickBot="1" x14ac:dyDescent="0.3">
      <c r="A522" s="10">
        <v>52708</v>
      </c>
      <c r="B522" s="11" t="s">
        <v>12</v>
      </c>
      <c r="C522" s="12" t="s">
        <v>10</v>
      </c>
    </row>
    <row r="523" spans="1:3" ht="15.75" thickBot="1" x14ac:dyDescent="0.3">
      <c r="A523" s="10">
        <v>52718</v>
      </c>
      <c r="B523" s="11" t="s">
        <v>19</v>
      </c>
      <c r="C523" s="12" t="s">
        <v>11</v>
      </c>
    </row>
    <row r="524" spans="1:3" ht="15.75" thickBot="1" x14ac:dyDescent="0.3">
      <c r="A524" s="10">
        <v>52764</v>
      </c>
      <c r="B524" s="11" t="s">
        <v>12</v>
      </c>
      <c r="C524" s="12" t="s">
        <v>13</v>
      </c>
    </row>
    <row r="525" spans="1:3" ht="15.75" thickBot="1" x14ac:dyDescent="0.3">
      <c r="A525" s="10">
        <v>52847</v>
      </c>
      <c r="B525" s="11" t="s">
        <v>20</v>
      </c>
      <c r="C525" s="12" t="s">
        <v>14</v>
      </c>
    </row>
    <row r="526" spans="1:3" ht="15.75" thickBot="1" x14ac:dyDescent="0.3">
      <c r="A526" s="10">
        <v>52882</v>
      </c>
      <c r="B526" s="11" t="s">
        <v>20</v>
      </c>
      <c r="C526" s="12" t="s">
        <v>15</v>
      </c>
    </row>
    <row r="527" spans="1:3" ht="15.75" thickBot="1" x14ac:dyDescent="0.3">
      <c r="A527" s="10">
        <v>52903</v>
      </c>
      <c r="B527" s="11" t="s">
        <v>20</v>
      </c>
      <c r="C527" s="12" t="s">
        <v>16</v>
      </c>
    </row>
    <row r="528" spans="1:3" ht="15.75" thickBot="1" x14ac:dyDescent="0.3">
      <c r="A528" s="10">
        <v>52916</v>
      </c>
      <c r="B528" s="11" t="s">
        <v>6</v>
      </c>
      <c r="C528" s="12" t="s">
        <v>17</v>
      </c>
    </row>
    <row r="529" spans="1:3" ht="15.75" thickBot="1" x14ac:dyDescent="0.3">
      <c r="A529" s="7">
        <v>52956</v>
      </c>
      <c r="B529" s="8" t="s">
        <v>19</v>
      </c>
      <c r="C529" s="9" t="s">
        <v>18</v>
      </c>
    </row>
    <row r="530" spans="1:3" ht="15.75" thickBot="1" x14ac:dyDescent="0.3">
      <c r="A530" s="13">
        <v>52963</v>
      </c>
      <c r="B530" s="14" t="s">
        <v>19</v>
      </c>
      <c r="C530" s="15" t="s">
        <v>4</v>
      </c>
    </row>
    <row r="531" spans="1:3" ht="15.75" thickBot="1" x14ac:dyDescent="0.3">
      <c r="A531" s="4">
        <v>53013</v>
      </c>
      <c r="B531" s="5" t="s">
        <v>3</v>
      </c>
      <c r="C531" s="6" t="s">
        <v>5</v>
      </c>
    </row>
    <row r="532" spans="1:3" ht="15.75" thickBot="1" x14ac:dyDescent="0.3">
      <c r="A532" s="4">
        <v>53014</v>
      </c>
      <c r="B532" s="5" t="s">
        <v>6</v>
      </c>
      <c r="C532" s="6" t="s">
        <v>5</v>
      </c>
    </row>
    <row r="533" spans="1:3" ht="15.75" thickBot="1" x14ac:dyDescent="0.3">
      <c r="A533" s="4">
        <v>53059</v>
      </c>
      <c r="B533" s="5" t="s">
        <v>7</v>
      </c>
      <c r="C533" s="6" t="s">
        <v>8</v>
      </c>
    </row>
    <row r="534" spans="1:3" ht="15.75" thickBot="1" x14ac:dyDescent="0.3">
      <c r="A534" s="4">
        <v>53073</v>
      </c>
      <c r="B534" s="5" t="s">
        <v>7</v>
      </c>
      <c r="C534" s="6" t="s">
        <v>10</v>
      </c>
    </row>
    <row r="535" spans="1:3" ht="15.75" thickBot="1" x14ac:dyDescent="0.3">
      <c r="A535" s="4">
        <v>53083</v>
      </c>
      <c r="B535" s="5" t="s">
        <v>3</v>
      </c>
      <c r="C535" s="6" t="s">
        <v>11</v>
      </c>
    </row>
    <row r="536" spans="1:3" ht="15.75" thickBot="1" x14ac:dyDescent="0.3">
      <c r="A536" s="4">
        <v>53121</v>
      </c>
      <c r="B536" s="5" t="s">
        <v>12</v>
      </c>
      <c r="C536" s="6" t="s">
        <v>13</v>
      </c>
    </row>
    <row r="537" spans="1:3" ht="15.75" thickBot="1" x14ac:dyDescent="0.3">
      <c r="A537" s="4">
        <v>53212</v>
      </c>
      <c r="B537" s="5" t="s">
        <v>12</v>
      </c>
      <c r="C537" s="6" t="s">
        <v>14</v>
      </c>
    </row>
    <row r="538" spans="1:3" ht="15.75" thickBot="1" x14ac:dyDescent="0.3">
      <c r="A538" s="4">
        <v>53247</v>
      </c>
      <c r="B538" s="5" t="s">
        <v>12</v>
      </c>
      <c r="C538" s="6" t="s">
        <v>15</v>
      </c>
    </row>
    <row r="539" spans="1:3" ht="15.75" thickBot="1" x14ac:dyDescent="0.3">
      <c r="A539" s="4">
        <v>53268</v>
      </c>
      <c r="B539" s="5" t="s">
        <v>12</v>
      </c>
      <c r="C539" s="6" t="s">
        <v>16</v>
      </c>
    </row>
    <row r="540" spans="1:3" ht="15.75" thickBot="1" x14ac:dyDescent="0.3">
      <c r="A540" s="4">
        <v>53281</v>
      </c>
      <c r="B540" s="5" t="s">
        <v>20</v>
      </c>
      <c r="C540" s="6" t="s">
        <v>17</v>
      </c>
    </row>
    <row r="541" spans="1:3" ht="15.75" thickBot="1" x14ac:dyDescent="0.3">
      <c r="A541" s="4">
        <v>53321</v>
      </c>
      <c r="B541" s="5" t="s">
        <v>3</v>
      </c>
      <c r="C541" s="6" t="s">
        <v>18</v>
      </c>
    </row>
    <row r="542" spans="1:3" ht="15.75" thickBot="1" x14ac:dyDescent="0.3">
      <c r="A542" s="7">
        <v>53328</v>
      </c>
      <c r="B542" s="8" t="s">
        <v>3</v>
      </c>
      <c r="C542" s="9" t="s">
        <v>4</v>
      </c>
    </row>
    <row r="543" spans="1:3" ht="15.75" thickBot="1" x14ac:dyDescent="0.3">
      <c r="A543" s="10">
        <v>53363</v>
      </c>
      <c r="B543" s="11" t="s">
        <v>3</v>
      </c>
      <c r="C543" s="12" t="s">
        <v>5</v>
      </c>
    </row>
    <row r="544" spans="1:3" ht="15.75" thickBot="1" x14ac:dyDescent="0.3">
      <c r="A544" s="10">
        <v>53364</v>
      </c>
      <c r="B544" s="11" t="s">
        <v>6</v>
      </c>
      <c r="C544" s="12" t="s">
        <v>5</v>
      </c>
    </row>
    <row r="545" spans="1:3" ht="15.75" thickBot="1" x14ac:dyDescent="0.3">
      <c r="A545" s="10">
        <v>53409</v>
      </c>
      <c r="B545" s="11" t="s">
        <v>7</v>
      </c>
      <c r="C545" s="12" t="s">
        <v>8</v>
      </c>
    </row>
    <row r="546" spans="1:3" ht="15.75" thickBot="1" x14ac:dyDescent="0.3">
      <c r="A546" s="10">
        <v>53438</v>
      </c>
      <c r="B546" s="11" t="s">
        <v>9</v>
      </c>
      <c r="C546" s="12" t="s">
        <v>10</v>
      </c>
    </row>
    <row r="547" spans="1:3" ht="15.75" thickBot="1" x14ac:dyDescent="0.3">
      <c r="A547" s="10">
        <v>53448</v>
      </c>
      <c r="B547" s="11" t="s">
        <v>6</v>
      </c>
      <c r="C547" s="12" t="s">
        <v>11</v>
      </c>
    </row>
    <row r="548" spans="1:3" ht="15.75" thickBot="1" x14ac:dyDescent="0.3">
      <c r="A548" s="10">
        <v>53471</v>
      </c>
      <c r="B548" s="11" t="s">
        <v>12</v>
      </c>
      <c r="C548" s="12" t="s">
        <v>13</v>
      </c>
    </row>
    <row r="549" spans="1:3" ht="15.75" thickBot="1" x14ac:dyDescent="0.3">
      <c r="A549" s="10">
        <v>53577</v>
      </c>
      <c r="B549" s="11" t="s">
        <v>7</v>
      </c>
      <c r="C549" s="12" t="s">
        <v>14</v>
      </c>
    </row>
    <row r="550" spans="1:3" ht="15.75" thickBot="1" x14ac:dyDescent="0.3">
      <c r="A550" s="10">
        <v>53612</v>
      </c>
      <c r="B550" s="11" t="s">
        <v>7</v>
      </c>
      <c r="C550" s="12" t="s">
        <v>15</v>
      </c>
    </row>
    <row r="551" spans="1:3" ht="15.75" thickBot="1" x14ac:dyDescent="0.3">
      <c r="A551" s="10">
        <v>53633</v>
      </c>
      <c r="B551" s="11" t="s">
        <v>7</v>
      </c>
      <c r="C551" s="12" t="s">
        <v>16</v>
      </c>
    </row>
    <row r="552" spans="1:3" ht="15.75" thickBot="1" x14ac:dyDescent="0.3">
      <c r="A552" s="10">
        <v>53646</v>
      </c>
      <c r="B552" s="11" t="s">
        <v>12</v>
      </c>
      <c r="C552" s="12" t="s">
        <v>17</v>
      </c>
    </row>
    <row r="553" spans="1:3" ht="15.75" thickBot="1" x14ac:dyDescent="0.3">
      <c r="A553" s="10">
        <v>53686</v>
      </c>
      <c r="B553" s="11" t="s">
        <v>6</v>
      </c>
      <c r="C553" s="12" t="s">
        <v>18</v>
      </c>
    </row>
    <row r="554" spans="1:3" ht="15.75" thickBot="1" x14ac:dyDescent="0.3">
      <c r="A554" s="13">
        <v>53693</v>
      </c>
      <c r="B554" s="14" t="s">
        <v>6</v>
      </c>
      <c r="C554" s="15" t="s">
        <v>4</v>
      </c>
    </row>
    <row r="555" spans="1:3" ht="15.75" thickBot="1" x14ac:dyDescent="0.3">
      <c r="A555" s="4">
        <v>53748</v>
      </c>
      <c r="B555" s="5" t="s">
        <v>3</v>
      </c>
      <c r="C555" s="6" t="s">
        <v>5</v>
      </c>
    </row>
    <row r="556" spans="1:3" ht="15.75" thickBot="1" x14ac:dyDescent="0.3">
      <c r="A556" s="4">
        <v>53749</v>
      </c>
      <c r="B556" s="5" t="s">
        <v>6</v>
      </c>
      <c r="C556" s="6" t="s">
        <v>5</v>
      </c>
    </row>
    <row r="557" spans="1:3" ht="15.75" thickBot="1" x14ac:dyDescent="0.3">
      <c r="A557" s="4">
        <v>53794</v>
      </c>
      <c r="B557" s="5" t="s">
        <v>7</v>
      </c>
      <c r="C557" s="6" t="s">
        <v>8</v>
      </c>
    </row>
    <row r="558" spans="1:3" ht="15.75" thickBot="1" x14ac:dyDescent="0.3">
      <c r="A558" s="4">
        <v>53803</v>
      </c>
      <c r="B558" s="5" t="s">
        <v>6</v>
      </c>
      <c r="C558" s="6" t="s">
        <v>10</v>
      </c>
    </row>
    <row r="559" spans="1:3" ht="15.75" thickBot="1" x14ac:dyDescent="0.3">
      <c r="A559" s="4">
        <v>53813</v>
      </c>
      <c r="B559" s="5" t="s">
        <v>20</v>
      </c>
      <c r="C559" s="6" t="s">
        <v>11</v>
      </c>
    </row>
    <row r="560" spans="1:3" ht="15.75" thickBot="1" x14ac:dyDescent="0.3">
      <c r="A560" s="4">
        <v>53856</v>
      </c>
      <c r="B560" s="5" t="s">
        <v>12</v>
      </c>
      <c r="C560" s="6" t="s">
        <v>13</v>
      </c>
    </row>
    <row r="561" spans="1:3" ht="15.75" thickBot="1" x14ac:dyDescent="0.3">
      <c r="A561" s="4">
        <v>53942</v>
      </c>
      <c r="B561" s="5" t="s">
        <v>9</v>
      </c>
      <c r="C561" s="6" t="s">
        <v>14</v>
      </c>
    </row>
    <row r="562" spans="1:3" ht="15.75" thickBot="1" x14ac:dyDescent="0.3">
      <c r="A562" s="4">
        <v>53977</v>
      </c>
      <c r="B562" s="5" t="s">
        <v>9</v>
      </c>
      <c r="C562" s="6" t="s">
        <v>15</v>
      </c>
    </row>
    <row r="563" spans="1:3" ht="15.75" thickBot="1" x14ac:dyDescent="0.3">
      <c r="A563" s="4">
        <v>53998</v>
      </c>
      <c r="B563" s="5" t="s">
        <v>9</v>
      </c>
      <c r="C563" s="6" t="s">
        <v>16</v>
      </c>
    </row>
    <row r="564" spans="1:3" ht="15.75" thickBot="1" x14ac:dyDescent="0.3">
      <c r="A564" s="4">
        <v>54011</v>
      </c>
      <c r="B564" s="5" t="s">
        <v>7</v>
      </c>
      <c r="C564" s="6" t="s">
        <v>17</v>
      </c>
    </row>
    <row r="565" spans="1:3" ht="15.75" thickBot="1" x14ac:dyDescent="0.3">
      <c r="A565" s="4">
        <v>54051</v>
      </c>
      <c r="B565" s="5" t="s">
        <v>20</v>
      </c>
      <c r="C565" s="6" t="s">
        <v>18</v>
      </c>
    </row>
    <row r="566" spans="1:3" ht="15.75" thickBot="1" x14ac:dyDescent="0.3">
      <c r="A566" s="7">
        <v>54058</v>
      </c>
      <c r="B566" s="8" t="s">
        <v>20</v>
      </c>
      <c r="C566" s="9" t="s">
        <v>4</v>
      </c>
    </row>
    <row r="567" spans="1:3" ht="15.75" thickBot="1" x14ac:dyDescent="0.3">
      <c r="A567" s="10">
        <v>54105</v>
      </c>
      <c r="B567" s="11" t="s">
        <v>3</v>
      </c>
      <c r="C567" s="12" t="s">
        <v>5</v>
      </c>
    </row>
    <row r="568" spans="1:3" ht="15.75" thickBot="1" x14ac:dyDescent="0.3">
      <c r="A568" s="10">
        <v>54106</v>
      </c>
      <c r="B568" s="11" t="s">
        <v>6</v>
      </c>
      <c r="C568" s="12" t="s">
        <v>5</v>
      </c>
    </row>
    <row r="569" spans="1:3" ht="15.75" thickBot="1" x14ac:dyDescent="0.3">
      <c r="A569" s="10">
        <v>54151</v>
      </c>
      <c r="B569" s="11" t="s">
        <v>7</v>
      </c>
      <c r="C569" s="12" t="s">
        <v>8</v>
      </c>
    </row>
    <row r="570" spans="1:3" ht="15.75" thickBot="1" x14ac:dyDescent="0.3">
      <c r="A570" s="10">
        <v>54169</v>
      </c>
      <c r="B570" s="11" t="s">
        <v>6</v>
      </c>
      <c r="C570" s="12" t="s">
        <v>10</v>
      </c>
    </row>
    <row r="571" spans="1:3" ht="15.75" thickBot="1" x14ac:dyDescent="0.3">
      <c r="A571" s="10">
        <v>54179</v>
      </c>
      <c r="B571" s="11" t="s">
        <v>7</v>
      </c>
      <c r="C571" s="12" t="s">
        <v>11</v>
      </c>
    </row>
    <row r="572" spans="1:3" ht="15.75" thickBot="1" x14ac:dyDescent="0.3">
      <c r="A572" s="10">
        <v>54213</v>
      </c>
      <c r="B572" s="11" t="s">
        <v>12</v>
      </c>
      <c r="C572" s="12" t="s">
        <v>13</v>
      </c>
    </row>
    <row r="573" spans="1:3" ht="15.75" thickBot="1" x14ac:dyDescent="0.3">
      <c r="A573" s="10">
        <v>54308</v>
      </c>
      <c r="B573" s="11" t="s">
        <v>3</v>
      </c>
      <c r="C573" s="12" t="s">
        <v>14</v>
      </c>
    </row>
    <row r="574" spans="1:3" ht="15.75" thickBot="1" x14ac:dyDescent="0.3">
      <c r="A574" s="10">
        <v>54343</v>
      </c>
      <c r="B574" s="11" t="s">
        <v>3</v>
      </c>
      <c r="C574" s="12" t="s">
        <v>15</v>
      </c>
    </row>
    <row r="575" spans="1:3" ht="15.75" thickBot="1" x14ac:dyDescent="0.3">
      <c r="A575" s="10">
        <v>54364</v>
      </c>
      <c r="B575" s="11" t="s">
        <v>3</v>
      </c>
      <c r="C575" s="12" t="s">
        <v>16</v>
      </c>
    </row>
    <row r="576" spans="1:3" ht="15.75" thickBot="1" x14ac:dyDescent="0.3">
      <c r="A576" s="10">
        <v>54377</v>
      </c>
      <c r="B576" s="11" t="s">
        <v>19</v>
      </c>
      <c r="C576" s="12" t="s">
        <v>17</v>
      </c>
    </row>
    <row r="577" spans="1:3" ht="15.75" thickBot="1" x14ac:dyDescent="0.3">
      <c r="A577" s="10">
        <v>54417</v>
      </c>
      <c r="B577" s="11" t="s">
        <v>7</v>
      </c>
      <c r="C577" s="12" t="s">
        <v>18</v>
      </c>
    </row>
    <row r="578" spans="1:3" ht="15.75" thickBot="1" x14ac:dyDescent="0.3">
      <c r="A578" s="13">
        <v>54424</v>
      </c>
      <c r="B578" s="14" t="s">
        <v>7</v>
      </c>
      <c r="C578" s="15" t="s">
        <v>4</v>
      </c>
    </row>
    <row r="579" spans="1:3" ht="15.75" thickBot="1" x14ac:dyDescent="0.3">
      <c r="A579" s="4">
        <v>54483</v>
      </c>
      <c r="B579" s="5" t="s">
        <v>3</v>
      </c>
      <c r="C579" s="6" t="s">
        <v>5</v>
      </c>
    </row>
    <row r="580" spans="1:3" ht="15.75" thickBot="1" x14ac:dyDescent="0.3">
      <c r="A580" s="4">
        <v>54484</v>
      </c>
      <c r="B580" s="5" t="s">
        <v>6</v>
      </c>
      <c r="C580" s="6" t="s">
        <v>5</v>
      </c>
    </row>
    <row r="581" spans="1:3" ht="15.75" thickBot="1" x14ac:dyDescent="0.3">
      <c r="A581" s="4">
        <v>54529</v>
      </c>
      <c r="B581" s="5" t="s">
        <v>7</v>
      </c>
      <c r="C581" s="6" t="s">
        <v>8</v>
      </c>
    </row>
    <row r="582" spans="1:3" ht="15.75" thickBot="1" x14ac:dyDescent="0.3">
      <c r="A582" s="4">
        <v>54534</v>
      </c>
      <c r="B582" s="5" t="s">
        <v>20</v>
      </c>
      <c r="C582" s="6" t="s">
        <v>10</v>
      </c>
    </row>
    <row r="583" spans="1:3" ht="15.75" thickBot="1" x14ac:dyDescent="0.3">
      <c r="A583" s="4">
        <v>54544</v>
      </c>
      <c r="B583" s="5" t="s">
        <v>9</v>
      </c>
      <c r="C583" s="6" t="s">
        <v>11</v>
      </c>
    </row>
    <row r="584" spans="1:3" ht="15.75" thickBot="1" x14ac:dyDescent="0.3">
      <c r="A584" s="4">
        <v>54591</v>
      </c>
      <c r="B584" s="5" t="s">
        <v>12</v>
      </c>
      <c r="C584" s="6" t="s">
        <v>13</v>
      </c>
    </row>
    <row r="585" spans="1:3" ht="15.75" thickBot="1" x14ac:dyDescent="0.3">
      <c r="A585" s="4">
        <v>54673</v>
      </c>
      <c r="B585" s="5" t="s">
        <v>6</v>
      </c>
      <c r="C585" s="6" t="s">
        <v>14</v>
      </c>
    </row>
    <row r="586" spans="1:3" ht="15.75" thickBot="1" x14ac:dyDescent="0.3">
      <c r="A586" s="4">
        <v>54708</v>
      </c>
      <c r="B586" s="5" t="s">
        <v>6</v>
      </c>
      <c r="C586" s="6" t="s">
        <v>15</v>
      </c>
    </row>
    <row r="587" spans="1:3" ht="15.75" thickBot="1" x14ac:dyDescent="0.3">
      <c r="A587" s="4">
        <v>54729</v>
      </c>
      <c r="B587" s="5" t="s">
        <v>6</v>
      </c>
      <c r="C587" s="6" t="s">
        <v>16</v>
      </c>
    </row>
    <row r="588" spans="1:3" ht="15.75" thickBot="1" x14ac:dyDescent="0.3">
      <c r="A588" s="4">
        <v>54742</v>
      </c>
      <c r="B588" s="5" t="s">
        <v>3</v>
      </c>
      <c r="C588" s="6" t="s">
        <v>17</v>
      </c>
    </row>
    <row r="589" spans="1:3" ht="15.75" thickBot="1" x14ac:dyDescent="0.3">
      <c r="A589" s="4">
        <v>54782</v>
      </c>
      <c r="B589" s="5" t="s">
        <v>9</v>
      </c>
      <c r="C589" s="6" t="s">
        <v>18</v>
      </c>
    </row>
    <row r="590" spans="1:3" ht="15.75" thickBot="1" x14ac:dyDescent="0.3">
      <c r="A590" s="7">
        <v>54789</v>
      </c>
      <c r="B590" s="8" t="s">
        <v>9</v>
      </c>
      <c r="C590" s="9" t="s">
        <v>4</v>
      </c>
    </row>
    <row r="591" spans="1:3" ht="15.75" thickBot="1" x14ac:dyDescent="0.3">
      <c r="A591" s="10">
        <v>54840</v>
      </c>
      <c r="B591" s="11" t="s">
        <v>3</v>
      </c>
      <c r="C591" s="12" t="s">
        <v>5</v>
      </c>
    </row>
    <row r="592" spans="1:3" ht="15.75" thickBot="1" x14ac:dyDescent="0.3">
      <c r="A592" s="10">
        <v>54841</v>
      </c>
      <c r="B592" s="11" t="s">
        <v>6</v>
      </c>
      <c r="C592" s="12" t="s">
        <v>5</v>
      </c>
    </row>
    <row r="593" spans="1:3" ht="15.75" thickBot="1" x14ac:dyDescent="0.3">
      <c r="A593" s="10">
        <v>54886</v>
      </c>
      <c r="B593" s="11" t="s">
        <v>7</v>
      </c>
      <c r="C593" s="12" t="s">
        <v>8</v>
      </c>
    </row>
    <row r="594" spans="1:3" ht="15.75" thickBot="1" x14ac:dyDescent="0.3">
      <c r="A594" s="10">
        <v>54899</v>
      </c>
      <c r="B594" s="11" t="s">
        <v>12</v>
      </c>
      <c r="C594" s="12" t="s">
        <v>10</v>
      </c>
    </row>
    <row r="595" spans="1:3" ht="15.75" thickBot="1" x14ac:dyDescent="0.3">
      <c r="A595" s="10">
        <v>54909</v>
      </c>
      <c r="B595" s="11" t="s">
        <v>19</v>
      </c>
      <c r="C595" s="12" t="s">
        <v>11</v>
      </c>
    </row>
    <row r="596" spans="1:3" ht="15.75" thickBot="1" x14ac:dyDescent="0.3">
      <c r="A596" s="10">
        <v>54948</v>
      </c>
      <c r="B596" s="11" t="s">
        <v>12</v>
      </c>
      <c r="C596" s="12" t="s">
        <v>13</v>
      </c>
    </row>
    <row r="597" spans="1:3" ht="15.75" thickBot="1" x14ac:dyDescent="0.3">
      <c r="A597" s="10">
        <v>55038</v>
      </c>
      <c r="B597" s="11" t="s">
        <v>20</v>
      </c>
      <c r="C597" s="12" t="s">
        <v>14</v>
      </c>
    </row>
    <row r="598" spans="1:3" ht="15.75" thickBot="1" x14ac:dyDescent="0.3">
      <c r="A598" s="10">
        <v>55073</v>
      </c>
      <c r="B598" s="11" t="s">
        <v>20</v>
      </c>
      <c r="C598" s="12" t="s">
        <v>15</v>
      </c>
    </row>
    <row r="599" spans="1:3" ht="15.75" thickBot="1" x14ac:dyDescent="0.3">
      <c r="A599" s="10">
        <v>55094</v>
      </c>
      <c r="B599" s="11" t="s">
        <v>20</v>
      </c>
      <c r="C599" s="12" t="s">
        <v>16</v>
      </c>
    </row>
    <row r="600" spans="1:3" ht="15.75" thickBot="1" x14ac:dyDescent="0.3">
      <c r="A600" s="10">
        <v>55107</v>
      </c>
      <c r="B600" s="11" t="s">
        <v>6</v>
      </c>
      <c r="C600" s="12" t="s">
        <v>17</v>
      </c>
    </row>
    <row r="601" spans="1:3" ht="15.75" thickBot="1" x14ac:dyDescent="0.3">
      <c r="A601" s="10">
        <v>55147</v>
      </c>
      <c r="B601" s="11" t="s">
        <v>19</v>
      </c>
      <c r="C601" s="12" t="s">
        <v>18</v>
      </c>
    </row>
    <row r="602" spans="1:3" ht="15.75" thickBot="1" x14ac:dyDescent="0.3">
      <c r="A602" s="13">
        <v>55154</v>
      </c>
      <c r="B602" s="14" t="s">
        <v>19</v>
      </c>
      <c r="C602" s="15" t="s">
        <v>4</v>
      </c>
    </row>
    <row r="603" spans="1:3" ht="15.75" thickBot="1" x14ac:dyDescent="0.3">
      <c r="A603" s="4">
        <v>55197</v>
      </c>
      <c r="B603" s="5" t="s">
        <v>3</v>
      </c>
      <c r="C603" s="6" t="s">
        <v>5</v>
      </c>
    </row>
    <row r="604" spans="1:3" ht="15.75" thickBot="1" x14ac:dyDescent="0.3">
      <c r="A604" s="4">
        <v>55198</v>
      </c>
      <c r="B604" s="5" t="s">
        <v>6</v>
      </c>
      <c r="C604" s="6" t="s">
        <v>5</v>
      </c>
    </row>
    <row r="605" spans="1:3" ht="15.75" thickBot="1" x14ac:dyDescent="0.3">
      <c r="A605" s="4">
        <v>55243</v>
      </c>
      <c r="B605" s="5" t="s">
        <v>7</v>
      </c>
      <c r="C605" s="6" t="s">
        <v>8</v>
      </c>
    </row>
    <row r="606" spans="1:3" ht="15.75" thickBot="1" x14ac:dyDescent="0.3">
      <c r="A606" s="4">
        <v>55264</v>
      </c>
      <c r="B606" s="5" t="s">
        <v>7</v>
      </c>
      <c r="C606" s="6" t="s">
        <v>10</v>
      </c>
    </row>
    <row r="607" spans="1:3" ht="15.75" thickBot="1" x14ac:dyDescent="0.3">
      <c r="A607" s="4">
        <v>55274</v>
      </c>
      <c r="B607" s="5" t="s">
        <v>3</v>
      </c>
      <c r="C607" s="6" t="s">
        <v>11</v>
      </c>
    </row>
    <row r="608" spans="1:3" ht="15.75" thickBot="1" x14ac:dyDescent="0.3">
      <c r="A608" s="4">
        <v>55305</v>
      </c>
      <c r="B608" s="5" t="s">
        <v>12</v>
      </c>
      <c r="C608" s="6" t="s">
        <v>13</v>
      </c>
    </row>
    <row r="609" spans="1:3" ht="15.75" thickBot="1" x14ac:dyDescent="0.3">
      <c r="A609" s="4">
        <v>55403</v>
      </c>
      <c r="B609" s="5" t="s">
        <v>12</v>
      </c>
      <c r="C609" s="6" t="s">
        <v>14</v>
      </c>
    </row>
    <row r="610" spans="1:3" ht="15.75" thickBot="1" x14ac:dyDescent="0.3">
      <c r="A610" s="4">
        <v>55438</v>
      </c>
      <c r="B610" s="5" t="s">
        <v>12</v>
      </c>
      <c r="C610" s="6" t="s">
        <v>15</v>
      </c>
    </row>
    <row r="611" spans="1:3" ht="15.75" thickBot="1" x14ac:dyDescent="0.3">
      <c r="A611" s="4">
        <v>55459</v>
      </c>
      <c r="B611" s="5" t="s">
        <v>12</v>
      </c>
      <c r="C611" s="6" t="s">
        <v>16</v>
      </c>
    </row>
    <row r="612" spans="1:3" ht="15.75" thickBot="1" x14ac:dyDescent="0.3">
      <c r="A612" s="4">
        <v>55472</v>
      </c>
      <c r="B612" s="5" t="s">
        <v>20</v>
      </c>
      <c r="C612" s="6" t="s">
        <v>17</v>
      </c>
    </row>
    <row r="613" spans="1:3" ht="15.75" thickBot="1" x14ac:dyDescent="0.3">
      <c r="A613" s="4">
        <v>55512</v>
      </c>
      <c r="B613" s="5" t="s">
        <v>3</v>
      </c>
      <c r="C613" s="6" t="s">
        <v>18</v>
      </c>
    </row>
    <row r="614" spans="1:3" ht="15.75" thickBot="1" x14ac:dyDescent="0.3">
      <c r="A614" s="7">
        <v>55519</v>
      </c>
      <c r="B614" s="8" t="s">
        <v>3</v>
      </c>
      <c r="C614" s="9" t="s">
        <v>4</v>
      </c>
    </row>
    <row r="615" spans="1:3" ht="15.75" thickBot="1" x14ac:dyDescent="0.3">
      <c r="A615" s="10">
        <v>55582</v>
      </c>
      <c r="B615" s="11" t="s">
        <v>3</v>
      </c>
      <c r="C615" s="12" t="s">
        <v>5</v>
      </c>
    </row>
    <row r="616" spans="1:3" ht="15.75" thickBot="1" x14ac:dyDescent="0.3">
      <c r="A616" s="10">
        <v>55583</v>
      </c>
      <c r="B616" s="11" t="s">
        <v>6</v>
      </c>
      <c r="C616" s="12" t="s">
        <v>5</v>
      </c>
    </row>
    <row r="617" spans="1:3" ht="15.75" thickBot="1" x14ac:dyDescent="0.3">
      <c r="A617" s="10">
        <v>55628</v>
      </c>
      <c r="B617" s="11" t="s">
        <v>7</v>
      </c>
      <c r="C617" s="12" t="s">
        <v>8</v>
      </c>
    </row>
    <row r="618" spans="1:3" ht="15.75" thickBot="1" x14ac:dyDescent="0.3">
      <c r="A618" s="10">
        <v>55630</v>
      </c>
      <c r="B618" s="11" t="s">
        <v>19</v>
      </c>
      <c r="C618" s="12" t="s">
        <v>10</v>
      </c>
    </row>
    <row r="619" spans="1:3" ht="15.75" thickBot="1" x14ac:dyDescent="0.3">
      <c r="A619" s="10">
        <v>55640</v>
      </c>
      <c r="B619" s="11" t="s">
        <v>20</v>
      </c>
      <c r="C619" s="12" t="s">
        <v>11</v>
      </c>
    </row>
    <row r="620" spans="1:3" ht="15.75" thickBot="1" x14ac:dyDescent="0.3">
      <c r="A620" s="10">
        <v>55690</v>
      </c>
      <c r="B620" s="11" t="s">
        <v>12</v>
      </c>
      <c r="C620" s="12" t="s">
        <v>13</v>
      </c>
    </row>
    <row r="621" spans="1:3" ht="15.75" thickBot="1" x14ac:dyDescent="0.3">
      <c r="A621" s="10">
        <v>55769</v>
      </c>
      <c r="B621" s="11" t="s">
        <v>9</v>
      </c>
      <c r="C621" s="12" t="s">
        <v>14</v>
      </c>
    </row>
    <row r="622" spans="1:3" ht="15.75" thickBot="1" x14ac:dyDescent="0.3">
      <c r="A622" s="10">
        <v>55804</v>
      </c>
      <c r="B622" s="11" t="s">
        <v>9</v>
      </c>
      <c r="C622" s="12" t="s">
        <v>15</v>
      </c>
    </row>
    <row r="623" spans="1:3" ht="15.75" thickBot="1" x14ac:dyDescent="0.3">
      <c r="A623" s="10">
        <v>55825</v>
      </c>
      <c r="B623" s="11" t="s">
        <v>9</v>
      </c>
      <c r="C623" s="12" t="s">
        <v>16</v>
      </c>
    </row>
    <row r="624" spans="1:3" ht="15.75" thickBot="1" x14ac:dyDescent="0.3">
      <c r="A624" s="10">
        <v>55838</v>
      </c>
      <c r="B624" s="11" t="s">
        <v>7</v>
      </c>
      <c r="C624" s="12" t="s">
        <v>17</v>
      </c>
    </row>
    <row r="625" spans="1:3" ht="15.75" thickBot="1" x14ac:dyDescent="0.3">
      <c r="A625" s="10">
        <v>55878</v>
      </c>
      <c r="B625" s="11" t="s">
        <v>20</v>
      </c>
      <c r="C625" s="12" t="s">
        <v>18</v>
      </c>
    </row>
    <row r="626" spans="1:3" ht="15.75" thickBot="1" x14ac:dyDescent="0.3">
      <c r="A626" s="13">
        <v>55885</v>
      </c>
      <c r="B626" s="14" t="s">
        <v>20</v>
      </c>
      <c r="C626" s="15" t="s">
        <v>4</v>
      </c>
    </row>
    <row r="627" spans="1:3" ht="15.75" thickBot="1" x14ac:dyDescent="0.3">
      <c r="A627" s="4">
        <v>55932</v>
      </c>
      <c r="B627" s="5" t="s">
        <v>3</v>
      </c>
      <c r="C627" s="6" t="s">
        <v>5</v>
      </c>
    </row>
    <row r="628" spans="1:3" ht="15.75" thickBot="1" x14ac:dyDescent="0.3">
      <c r="A628" s="4">
        <v>55933</v>
      </c>
      <c r="B628" s="5" t="s">
        <v>6</v>
      </c>
      <c r="C628" s="6" t="s">
        <v>5</v>
      </c>
    </row>
    <row r="629" spans="1:3" ht="15.75" thickBot="1" x14ac:dyDescent="0.3">
      <c r="A629" s="4">
        <v>55978</v>
      </c>
      <c r="B629" s="5" t="s">
        <v>7</v>
      </c>
      <c r="C629" s="6" t="s">
        <v>8</v>
      </c>
    </row>
    <row r="630" spans="1:3" ht="15.75" thickBot="1" x14ac:dyDescent="0.3">
      <c r="A630" s="4">
        <v>55995</v>
      </c>
      <c r="B630" s="5" t="s">
        <v>3</v>
      </c>
      <c r="C630" s="6" t="s">
        <v>10</v>
      </c>
    </row>
    <row r="631" spans="1:3" ht="15.75" thickBot="1" x14ac:dyDescent="0.3">
      <c r="A631" s="4">
        <v>56005</v>
      </c>
      <c r="B631" s="5" t="s">
        <v>12</v>
      </c>
      <c r="C631" s="6" t="s">
        <v>11</v>
      </c>
    </row>
    <row r="632" spans="1:3" ht="15.75" thickBot="1" x14ac:dyDescent="0.3">
      <c r="A632" s="4">
        <v>56040</v>
      </c>
      <c r="B632" s="5" t="s">
        <v>12</v>
      </c>
      <c r="C632" s="6" t="s">
        <v>13</v>
      </c>
    </row>
    <row r="633" spans="1:3" ht="15.75" thickBot="1" x14ac:dyDescent="0.3">
      <c r="A633" s="4">
        <v>56134</v>
      </c>
      <c r="B633" s="5" t="s">
        <v>19</v>
      </c>
      <c r="C633" s="6" t="s">
        <v>14</v>
      </c>
    </row>
    <row r="634" spans="1:3" ht="15.75" thickBot="1" x14ac:dyDescent="0.3">
      <c r="A634" s="4">
        <v>56169</v>
      </c>
      <c r="B634" s="5" t="s">
        <v>19</v>
      </c>
      <c r="C634" s="6" t="s">
        <v>15</v>
      </c>
    </row>
    <row r="635" spans="1:3" ht="15.75" thickBot="1" x14ac:dyDescent="0.3">
      <c r="A635" s="4">
        <v>56190</v>
      </c>
      <c r="B635" s="5" t="s">
        <v>19</v>
      </c>
      <c r="C635" s="6" t="s">
        <v>16</v>
      </c>
    </row>
    <row r="636" spans="1:3" ht="15.75" thickBot="1" x14ac:dyDescent="0.3">
      <c r="A636" s="4">
        <v>56203</v>
      </c>
      <c r="B636" s="5" t="s">
        <v>9</v>
      </c>
      <c r="C636" s="6" t="s">
        <v>17</v>
      </c>
    </row>
    <row r="637" spans="1:3" ht="15.75" thickBot="1" x14ac:dyDescent="0.3">
      <c r="A637" s="4">
        <v>56243</v>
      </c>
      <c r="B637" s="5" t="s">
        <v>12</v>
      </c>
      <c r="C637" s="6" t="s">
        <v>18</v>
      </c>
    </row>
    <row r="638" spans="1:3" ht="15.75" thickBot="1" x14ac:dyDescent="0.3">
      <c r="A638" s="7">
        <v>56250</v>
      </c>
      <c r="B638" s="8" t="s">
        <v>12</v>
      </c>
      <c r="C638" s="9" t="s">
        <v>4</v>
      </c>
    </row>
    <row r="639" spans="1:3" ht="15.75" thickBot="1" x14ac:dyDescent="0.3">
      <c r="A639" s="10">
        <v>56289</v>
      </c>
      <c r="B639" s="11" t="s">
        <v>3</v>
      </c>
      <c r="C639" s="12" t="s">
        <v>5</v>
      </c>
    </row>
    <row r="640" spans="1:3" ht="15.75" thickBot="1" x14ac:dyDescent="0.3">
      <c r="A640" s="10">
        <v>56290</v>
      </c>
      <c r="B640" s="11" t="s">
        <v>6</v>
      </c>
      <c r="C640" s="12" t="s">
        <v>5</v>
      </c>
    </row>
    <row r="641" spans="1:3" ht="15.75" thickBot="1" x14ac:dyDescent="0.3">
      <c r="A641" s="10">
        <v>56335</v>
      </c>
      <c r="B641" s="11" t="s">
        <v>7</v>
      </c>
      <c r="C641" s="12" t="s">
        <v>8</v>
      </c>
    </row>
    <row r="642" spans="1:3" ht="15.75" thickBot="1" x14ac:dyDescent="0.3">
      <c r="A642" s="10">
        <v>56360</v>
      </c>
      <c r="B642" s="11" t="s">
        <v>6</v>
      </c>
      <c r="C642" s="12" t="s">
        <v>10</v>
      </c>
    </row>
    <row r="643" spans="1:3" ht="15.75" thickBot="1" x14ac:dyDescent="0.3">
      <c r="A643" s="10">
        <v>56370</v>
      </c>
      <c r="B643" s="11" t="s">
        <v>7</v>
      </c>
      <c r="C643" s="12" t="s">
        <v>11</v>
      </c>
    </row>
    <row r="644" spans="1:3" ht="15.75" thickBot="1" x14ac:dyDescent="0.3">
      <c r="A644" s="10">
        <v>56397</v>
      </c>
      <c r="B644" s="11" t="s">
        <v>12</v>
      </c>
      <c r="C644" s="12" t="s">
        <v>13</v>
      </c>
    </row>
    <row r="645" spans="1:3" ht="15.75" thickBot="1" x14ac:dyDescent="0.3">
      <c r="A645" s="10">
        <v>56499</v>
      </c>
      <c r="B645" s="11" t="s">
        <v>3</v>
      </c>
      <c r="C645" s="12" t="s">
        <v>14</v>
      </c>
    </row>
    <row r="646" spans="1:3" ht="15.75" thickBot="1" x14ac:dyDescent="0.3">
      <c r="A646" s="10">
        <v>56534</v>
      </c>
      <c r="B646" s="11" t="s">
        <v>3</v>
      </c>
      <c r="C646" s="12" t="s">
        <v>15</v>
      </c>
    </row>
    <row r="647" spans="1:3" ht="15.75" thickBot="1" x14ac:dyDescent="0.3">
      <c r="A647" s="10">
        <v>56555</v>
      </c>
      <c r="B647" s="11" t="s">
        <v>3</v>
      </c>
      <c r="C647" s="12" t="s">
        <v>16</v>
      </c>
    </row>
    <row r="648" spans="1:3" ht="15.75" thickBot="1" x14ac:dyDescent="0.3">
      <c r="A648" s="10">
        <v>56568</v>
      </c>
      <c r="B648" s="11" t="s">
        <v>19</v>
      </c>
      <c r="C648" s="12" t="s">
        <v>17</v>
      </c>
    </row>
    <row r="649" spans="1:3" ht="15.75" thickBot="1" x14ac:dyDescent="0.3">
      <c r="A649" s="10">
        <v>56608</v>
      </c>
      <c r="B649" s="11" t="s">
        <v>7</v>
      </c>
      <c r="C649" s="12" t="s">
        <v>18</v>
      </c>
    </row>
    <row r="650" spans="1:3" ht="15.75" thickBot="1" x14ac:dyDescent="0.3">
      <c r="A650" s="13">
        <v>56615</v>
      </c>
      <c r="B650" s="14" t="s">
        <v>7</v>
      </c>
      <c r="C650" s="15" t="s">
        <v>4</v>
      </c>
    </row>
    <row r="651" spans="1:3" ht="15.75" thickBot="1" x14ac:dyDescent="0.3">
      <c r="A651" s="4">
        <v>56674</v>
      </c>
      <c r="B651" s="5" t="s">
        <v>3</v>
      </c>
      <c r="C651" s="6" t="s">
        <v>5</v>
      </c>
    </row>
    <row r="652" spans="1:3" ht="15.75" thickBot="1" x14ac:dyDescent="0.3">
      <c r="A652" s="4">
        <v>56675</v>
      </c>
      <c r="B652" s="5" t="s">
        <v>6</v>
      </c>
      <c r="C652" s="6" t="s">
        <v>5</v>
      </c>
    </row>
    <row r="653" spans="1:3" ht="15.75" thickBot="1" x14ac:dyDescent="0.3">
      <c r="A653" s="4">
        <v>56720</v>
      </c>
      <c r="B653" s="5" t="s">
        <v>7</v>
      </c>
      <c r="C653" s="6" t="s">
        <v>8</v>
      </c>
    </row>
    <row r="654" spans="1:3" ht="15.75" thickBot="1" x14ac:dyDescent="0.3">
      <c r="A654" s="4">
        <v>56725</v>
      </c>
      <c r="B654" s="5" t="s">
        <v>20</v>
      </c>
      <c r="C654" s="6" t="s">
        <v>10</v>
      </c>
    </row>
    <row r="655" spans="1:3" ht="15.75" thickBot="1" x14ac:dyDescent="0.3">
      <c r="A655" s="4">
        <v>56735</v>
      </c>
      <c r="B655" s="5" t="s">
        <v>9</v>
      </c>
      <c r="C655" s="6" t="s">
        <v>11</v>
      </c>
    </row>
    <row r="656" spans="1:3" ht="15.75" thickBot="1" x14ac:dyDescent="0.3">
      <c r="A656" s="4">
        <v>56782</v>
      </c>
      <c r="B656" s="5" t="s">
        <v>12</v>
      </c>
      <c r="C656" s="6" t="s">
        <v>13</v>
      </c>
    </row>
    <row r="657" spans="1:3" ht="15.75" thickBot="1" x14ac:dyDescent="0.3">
      <c r="A657" s="4">
        <v>56864</v>
      </c>
      <c r="B657" s="5" t="s">
        <v>6</v>
      </c>
      <c r="C657" s="6" t="s">
        <v>14</v>
      </c>
    </row>
    <row r="658" spans="1:3" ht="15.75" thickBot="1" x14ac:dyDescent="0.3">
      <c r="A658" s="4">
        <v>56899</v>
      </c>
      <c r="B658" s="5" t="s">
        <v>6</v>
      </c>
      <c r="C658" s="6" t="s">
        <v>15</v>
      </c>
    </row>
    <row r="659" spans="1:3" ht="15.75" thickBot="1" x14ac:dyDescent="0.3">
      <c r="A659" s="4">
        <v>56920</v>
      </c>
      <c r="B659" s="5" t="s">
        <v>6</v>
      </c>
      <c r="C659" s="6" t="s">
        <v>16</v>
      </c>
    </row>
    <row r="660" spans="1:3" ht="15.75" thickBot="1" x14ac:dyDescent="0.3">
      <c r="A660" s="4">
        <v>56933</v>
      </c>
      <c r="B660" s="5" t="s">
        <v>3</v>
      </c>
      <c r="C660" s="6" t="s">
        <v>17</v>
      </c>
    </row>
    <row r="661" spans="1:3" ht="15.75" thickBot="1" x14ac:dyDescent="0.3">
      <c r="A661" s="4">
        <v>56973</v>
      </c>
      <c r="B661" s="5" t="s">
        <v>9</v>
      </c>
      <c r="C661" s="6" t="s">
        <v>18</v>
      </c>
    </row>
    <row r="662" spans="1:3" ht="15.75" thickBot="1" x14ac:dyDescent="0.3">
      <c r="A662" s="7">
        <v>56980</v>
      </c>
      <c r="B662" s="8" t="s">
        <v>9</v>
      </c>
      <c r="C662" s="9" t="s">
        <v>4</v>
      </c>
    </row>
    <row r="663" spans="1:3" ht="15.75" thickBot="1" x14ac:dyDescent="0.3">
      <c r="A663" s="10">
        <v>57024</v>
      </c>
      <c r="B663" s="11" t="s">
        <v>3</v>
      </c>
      <c r="C663" s="12" t="s">
        <v>5</v>
      </c>
    </row>
    <row r="664" spans="1:3" ht="15.75" thickBot="1" x14ac:dyDescent="0.3">
      <c r="A664" s="10">
        <v>57025</v>
      </c>
      <c r="B664" s="11" t="s">
        <v>6</v>
      </c>
      <c r="C664" s="12" t="s">
        <v>5</v>
      </c>
    </row>
    <row r="665" spans="1:3" ht="15.75" thickBot="1" x14ac:dyDescent="0.3">
      <c r="A665" s="10">
        <v>57070</v>
      </c>
      <c r="B665" s="11" t="s">
        <v>7</v>
      </c>
      <c r="C665" s="12" t="s">
        <v>8</v>
      </c>
    </row>
    <row r="666" spans="1:3" ht="15.75" thickBot="1" x14ac:dyDescent="0.3">
      <c r="A666" s="10">
        <v>57091</v>
      </c>
      <c r="B666" s="11" t="s">
        <v>7</v>
      </c>
      <c r="C666" s="12" t="s">
        <v>10</v>
      </c>
    </row>
    <row r="667" spans="1:3" ht="15.75" thickBot="1" x14ac:dyDescent="0.3">
      <c r="A667" s="10">
        <v>57101</v>
      </c>
      <c r="B667" s="11" t="s">
        <v>3</v>
      </c>
      <c r="C667" s="12" t="s">
        <v>11</v>
      </c>
    </row>
    <row r="668" spans="1:3" ht="15.75" thickBot="1" x14ac:dyDescent="0.3">
      <c r="A668" s="10">
        <v>57132</v>
      </c>
      <c r="B668" s="11" t="s">
        <v>12</v>
      </c>
      <c r="C668" s="12" t="s">
        <v>13</v>
      </c>
    </row>
    <row r="669" spans="1:3" ht="15.75" thickBot="1" x14ac:dyDescent="0.3">
      <c r="A669" s="10">
        <v>57230</v>
      </c>
      <c r="B669" s="11" t="s">
        <v>12</v>
      </c>
      <c r="C669" s="12" t="s">
        <v>14</v>
      </c>
    </row>
    <row r="670" spans="1:3" ht="15.75" thickBot="1" x14ac:dyDescent="0.3">
      <c r="A670" s="10">
        <v>57265</v>
      </c>
      <c r="B670" s="11" t="s">
        <v>12</v>
      </c>
      <c r="C670" s="12" t="s">
        <v>15</v>
      </c>
    </row>
    <row r="671" spans="1:3" ht="15.75" thickBot="1" x14ac:dyDescent="0.3">
      <c r="A671" s="10">
        <v>57286</v>
      </c>
      <c r="B671" s="11" t="s">
        <v>12</v>
      </c>
      <c r="C671" s="12" t="s">
        <v>16</v>
      </c>
    </row>
    <row r="672" spans="1:3" ht="15.75" thickBot="1" x14ac:dyDescent="0.3">
      <c r="A672" s="10">
        <v>57299</v>
      </c>
      <c r="B672" s="11" t="s">
        <v>20</v>
      </c>
      <c r="C672" s="12" t="s">
        <v>17</v>
      </c>
    </row>
    <row r="673" spans="1:3" ht="15.75" thickBot="1" x14ac:dyDescent="0.3">
      <c r="A673" s="10">
        <v>57339</v>
      </c>
      <c r="B673" s="11" t="s">
        <v>3</v>
      </c>
      <c r="C673" s="12" t="s">
        <v>18</v>
      </c>
    </row>
    <row r="674" spans="1:3" ht="15.75" thickBot="1" x14ac:dyDescent="0.3">
      <c r="A674" s="13">
        <v>57346</v>
      </c>
      <c r="B674" s="14" t="s">
        <v>3</v>
      </c>
      <c r="C674" s="15" t="s">
        <v>4</v>
      </c>
    </row>
    <row r="675" spans="1:3" ht="15.75" thickBot="1" x14ac:dyDescent="0.3">
      <c r="A675" s="4">
        <v>57409</v>
      </c>
      <c r="B675" s="5" t="s">
        <v>3</v>
      </c>
      <c r="C675" s="6" t="s">
        <v>5</v>
      </c>
    </row>
    <row r="676" spans="1:3" ht="15.75" thickBot="1" x14ac:dyDescent="0.3">
      <c r="A676" s="4">
        <v>57410</v>
      </c>
      <c r="B676" s="5" t="s">
        <v>6</v>
      </c>
      <c r="C676" s="6" t="s">
        <v>5</v>
      </c>
    </row>
    <row r="677" spans="1:3" ht="15.75" thickBot="1" x14ac:dyDescent="0.3">
      <c r="A677" s="4">
        <v>57455</v>
      </c>
      <c r="B677" s="5" t="s">
        <v>7</v>
      </c>
      <c r="C677" s="6" t="s">
        <v>8</v>
      </c>
    </row>
    <row r="678" spans="1:3" ht="15.75" thickBot="1" x14ac:dyDescent="0.3">
      <c r="A678" s="4">
        <v>57456</v>
      </c>
      <c r="B678" s="5" t="s">
        <v>9</v>
      </c>
      <c r="C678" s="6" t="s">
        <v>10</v>
      </c>
    </row>
    <row r="679" spans="1:3" ht="15.75" thickBot="1" x14ac:dyDescent="0.3">
      <c r="A679" s="4">
        <v>57466</v>
      </c>
      <c r="B679" s="5" t="s">
        <v>6</v>
      </c>
      <c r="C679" s="6" t="s">
        <v>11</v>
      </c>
    </row>
    <row r="680" spans="1:3" ht="15.75" thickBot="1" x14ac:dyDescent="0.3">
      <c r="A680" s="4">
        <v>57517</v>
      </c>
      <c r="B680" s="5" t="s">
        <v>12</v>
      </c>
      <c r="C680" s="6" t="s">
        <v>13</v>
      </c>
    </row>
    <row r="681" spans="1:3" ht="15.75" thickBot="1" x14ac:dyDescent="0.3">
      <c r="A681" s="4">
        <v>57595</v>
      </c>
      <c r="B681" s="5" t="s">
        <v>7</v>
      </c>
      <c r="C681" s="6" t="s">
        <v>14</v>
      </c>
    </row>
    <row r="682" spans="1:3" ht="15.75" thickBot="1" x14ac:dyDescent="0.3">
      <c r="A682" s="4">
        <v>57630</v>
      </c>
      <c r="B682" s="5" t="s">
        <v>7</v>
      </c>
      <c r="C682" s="6" t="s">
        <v>15</v>
      </c>
    </row>
    <row r="683" spans="1:3" ht="15.75" thickBot="1" x14ac:dyDescent="0.3">
      <c r="A683" s="4">
        <v>57651</v>
      </c>
      <c r="B683" s="5" t="s">
        <v>7</v>
      </c>
      <c r="C683" s="6" t="s">
        <v>16</v>
      </c>
    </row>
    <row r="684" spans="1:3" ht="15.75" thickBot="1" x14ac:dyDescent="0.3">
      <c r="A684" s="4">
        <v>57664</v>
      </c>
      <c r="B684" s="5" t="s">
        <v>12</v>
      </c>
      <c r="C684" s="6" t="s">
        <v>17</v>
      </c>
    </row>
    <row r="685" spans="1:3" ht="15.75" thickBot="1" x14ac:dyDescent="0.3">
      <c r="A685" s="4">
        <v>57704</v>
      </c>
      <c r="B685" s="5" t="s">
        <v>6</v>
      </c>
      <c r="C685" s="6" t="s">
        <v>18</v>
      </c>
    </row>
    <row r="686" spans="1:3" ht="15.75" thickBot="1" x14ac:dyDescent="0.3">
      <c r="A686" s="7">
        <v>57711</v>
      </c>
      <c r="B686" s="8" t="s">
        <v>6</v>
      </c>
      <c r="C686" s="9" t="s">
        <v>4</v>
      </c>
    </row>
    <row r="687" spans="1:3" ht="15.75" thickBot="1" x14ac:dyDescent="0.3">
      <c r="A687" s="10">
        <v>57766</v>
      </c>
      <c r="B687" s="11" t="s">
        <v>3</v>
      </c>
      <c r="C687" s="12" t="s">
        <v>5</v>
      </c>
    </row>
    <row r="688" spans="1:3" ht="15.75" thickBot="1" x14ac:dyDescent="0.3">
      <c r="A688" s="10">
        <v>57767</v>
      </c>
      <c r="B688" s="11" t="s">
        <v>6</v>
      </c>
      <c r="C688" s="12" t="s">
        <v>5</v>
      </c>
    </row>
    <row r="689" spans="1:3" ht="15.75" thickBot="1" x14ac:dyDescent="0.3">
      <c r="A689" s="10">
        <v>57812</v>
      </c>
      <c r="B689" s="11" t="s">
        <v>7</v>
      </c>
      <c r="C689" s="12" t="s">
        <v>8</v>
      </c>
    </row>
    <row r="690" spans="1:3" ht="15.75" thickBot="1" x14ac:dyDescent="0.3">
      <c r="A690" s="10">
        <v>57821</v>
      </c>
      <c r="B690" s="11" t="s">
        <v>19</v>
      </c>
      <c r="C690" s="12" t="s">
        <v>10</v>
      </c>
    </row>
    <row r="691" spans="1:3" ht="15.75" thickBot="1" x14ac:dyDescent="0.3">
      <c r="A691" s="10">
        <v>57831</v>
      </c>
      <c r="B691" s="11" t="s">
        <v>20</v>
      </c>
      <c r="C691" s="12" t="s">
        <v>11</v>
      </c>
    </row>
    <row r="692" spans="1:3" ht="15.75" thickBot="1" x14ac:dyDescent="0.3">
      <c r="A692" s="10">
        <v>57874</v>
      </c>
      <c r="B692" s="11" t="s">
        <v>12</v>
      </c>
      <c r="C692" s="12" t="s">
        <v>13</v>
      </c>
    </row>
    <row r="693" spans="1:3" ht="15.75" thickBot="1" x14ac:dyDescent="0.3">
      <c r="A693" s="10">
        <v>57960</v>
      </c>
      <c r="B693" s="11" t="s">
        <v>9</v>
      </c>
      <c r="C693" s="12" t="s">
        <v>14</v>
      </c>
    </row>
    <row r="694" spans="1:3" ht="15.75" thickBot="1" x14ac:dyDescent="0.3">
      <c r="A694" s="10">
        <v>57995</v>
      </c>
      <c r="B694" s="11" t="s">
        <v>9</v>
      </c>
      <c r="C694" s="12" t="s">
        <v>15</v>
      </c>
    </row>
    <row r="695" spans="1:3" ht="15.75" thickBot="1" x14ac:dyDescent="0.3">
      <c r="A695" s="10">
        <v>58016</v>
      </c>
      <c r="B695" s="11" t="s">
        <v>9</v>
      </c>
      <c r="C695" s="12" t="s">
        <v>16</v>
      </c>
    </row>
    <row r="696" spans="1:3" ht="15.75" thickBot="1" x14ac:dyDescent="0.3">
      <c r="A696" s="10">
        <v>58029</v>
      </c>
      <c r="B696" s="11" t="s">
        <v>7</v>
      </c>
      <c r="C696" s="12" t="s">
        <v>17</v>
      </c>
    </row>
    <row r="697" spans="1:3" ht="15.75" thickBot="1" x14ac:dyDescent="0.3">
      <c r="A697" s="10">
        <v>58069</v>
      </c>
      <c r="B697" s="11" t="s">
        <v>20</v>
      </c>
      <c r="C697" s="12" t="s">
        <v>18</v>
      </c>
    </row>
    <row r="698" spans="1:3" ht="15.75" thickBot="1" x14ac:dyDescent="0.3">
      <c r="A698" s="13">
        <v>58076</v>
      </c>
      <c r="B698" s="14" t="s">
        <v>20</v>
      </c>
      <c r="C698" s="15" t="s">
        <v>4</v>
      </c>
    </row>
    <row r="699" spans="1:3" ht="15.75" thickBot="1" x14ac:dyDescent="0.3">
      <c r="A699" s="4">
        <v>58116</v>
      </c>
      <c r="B699" s="5" t="s">
        <v>3</v>
      </c>
      <c r="C699" s="6" t="s">
        <v>5</v>
      </c>
    </row>
    <row r="700" spans="1:3" ht="15.75" thickBot="1" x14ac:dyDescent="0.3">
      <c r="A700" s="4">
        <v>58117</v>
      </c>
      <c r="B700" s="5" t="s">
        <v>6</v>
      </c>
      <c r="C700" s="6" t="s">
        <v>5</v>
      </c>
    </row>
    <row r="701" spans="1:3" ht="15.75" thickBot="1" x14ac:dyDescent="0.3">
      <c r="A701" s="4">
        <v>58162</v>
      </c>
      <c r="B701" s="5" t="s">
        <v>7</v>
      </c>
      <c r="C701" s="6" t="s">
        <v>8</v>
      </c>
    </row>
    <row r="702" spans="1:3" ht="15.75" thickBot="1" x14ac:dyDescent="0.3">
      <c r="A702" s="4">
        <v>58186</v>
      </c>
      <c r="B702" s="5" t="s">
        <v>3</v>
      </c>
      <c r="C702" s="6" t="s">
        <v>10</v>
      </c>
    </row>
    <row r="703" spans="1:3" ht="15.75" thickBot="1" x14ac:dyDescent="0.3">
      <c r="A703" s="4">
        <v>58196</v>
      </c>
      <c r="B703" s="5" t="s">
        <v>12</v>
      </c>
      <c r="C703" s="6" t="s">
        <v>11</v>
      </c>
    </row>
    <row r="704" spans="1:3" ht="15.75" thickBot="1" x14ac:dyDescent="0.3">
      <c r="A704" s="4">
        <v>58224</v>
      </c>
      <c r="B704" s="5" t="s">
        <v>12</v>
      </c>
      <c r="C704" s="6" t="s">
        <v>13</v>
      </c>
    </row>
    <row r="705" spans="1:3" ht="15.75" thickBot="1" x14ac:dyDescent="0.3">
      <c r="A705" s="4">
        <v>58325</v>
      </c>
      <c r="B705" s="5" t="s">
        <v>19</v>
      </c>
      <c r="C705" s="6" t="s">
        <v>14</v>
      </c>
    </row>
    <row r="706" spans="1:3" ht="15.75" thickBot="1" x14ac:dyDescent="0.3">
      <c r="A706" s="4">
        <v>58360</v>
      </c>
      <c r="B706" s="5" t="s">
        <v>19</v>
      </c>
      <c r="C706" s="6" t="s">
        <v>15</v>
      </c>
    </row>
    <row r="707" spans="1:3" ht="15.75" thickBot="1" x14ac:dyDescent="0.3">
      <c r="A707" s="4">
        <v>58381</v>
      </c>
      <c r="B707" s="5" t="s">
        <v>19</v>
      </c>
      <c r="C707" s="6" t="s">
        <v>16</v>
      </c>
    </row>
    <row r="708" spans="1:3" ht="15.75" thickBot="1" x14ac:dyDescent="0.3">
      <c r="A708" s="4">
        <v>58394</v>
      </c>
      <c r="B708" s="5" t="s">
        <v>9</v>
      </c>
      <c r="C708" s="6" t="s">
        <v>17</v>
      </c>
    </row>
    <row r="709" spans="1:3" ht="15.75" thickBot="1" x14ac:dyDescent="0.3">
      <c r="A709" s="4">
        <v>58434</v>
      </c>
      <c r="B709" s="5" t="s">
        <v>12</v>
      </c>
      <c r="C709" s="6" t="s">
        <v>18</v>
      </c>
    </row>
    <row r="710" spans="1:3" ht="15.75" thickBot="1" x14ac:dyDescent="0.3">
      <c r="A710" s="7">
        <v>58441</v>
      </c>
      <c r="B710" s="8" t="s">
        <v>12</v>
      </c>
      <c r="C710" s="9" t="s">
        <v>4</v>
      </c>
    </row>
    <row r="711" spans="1:3" ht="15.75" thickBot="1" x14ac:dyDescent="0.3">
      <c r="A711" s="10">
        <v>58501</v>
      </c>
      <c r="B711" s="11" t="s">
        <v>3</v>
      </c>
      <c r="C711" s="12" t="s">
        <v>5</v>
      </c>
    </row>
    <row r="712" spans="1:3" ht="15.75" thickBot="1" x14ac:dyDescent="0.3">
      <c r="A712" s="10">
        <v>58502</v>
      </c>
      <c r="B712" s="11" t="s">
        <v>6</v>
      </c>
      <c r="C712" s="12" t="s">
        <v>5</v>
      </c>
    </row>
    <row r="713" spans="1:3" ht="15.75" thickBot="1" x14ac:dyDescent="0.3">
      <c r="A713" s="10">
        <v>58547</v>
      </c>
      <c r="B713" s="11" t="s">
        <v>7</v>
      </c>
      <c r="C713" s="12" t="s">
        <v>8</v>
      </c>
    </row>
    <row r="714" spans="1:3" ht="15.75" thickBot="1" x14ac:dyDescent="0.3">
      <c r="A714" s="10">
        <v>58552</v>
      </c>
      <c r="B714" s="11" t="s">
        <v>20</v>
      </c>
      <c r="C714" s="12" t="s">
        <v>10</v>
      </c>
    </row>
    <row r="715" spans="1:3" ht="15.75" thickBot="1" x14ac:dyDescent="0.3">
      <c r="A715" s="10">
        <v>58562</v>
      </c>
      <c r="B715" s="11" t="s">
        <v>9</v>
      </c>
      <c r="C715" s="12" t="s">
        <v>11</v>
      </c>
    </row>
    <row r="716" spans="1:3" ht="15.75" thickBot="1" x14ac:dyDescent="0.3">
      <c r="A716" s="10">
        <v>58609</v>
      </c>
      <c r="B716" s="11" t="s">
        <v>12</v>
      </c>
      <c r="C716" s="12" t="s">
        <v>13</v>
      </c>
    </row>
    <row r="717" spans="1:3" ht="15.75" thickBot="1" x14ac:dyDescent="0.3">
      <c r="A717" s="10">
        <v>58691</v>
      </c>
      <c r="B717" s="11" t="s">
        <v>6</v>
      </c>
      <c r="C717" s="12" t="s">
        <v>14</v>
      </c>
    </row>
    <row r="718" spans="1:3" ht="15.75" thickBot="1" x14ac:dyDescent="0.3">
      <c r="A718" s="10">
        <v>58726</v>
      </c>
      <c r="B718" s="11" t="s">
        <v>6</v>
      </c>
      <c r="C718" s="12" t="s">
        <v>15</v>
      </c>
    </row>
    <row r="719" spans="1:3" ht="15.75" thickBot="1" x14ac:dyDescent="0.3">
      <c r="A719" s="10">
        <v>58747</v>
      </c>
      <c r="B719" s="11" t="s">
        <v>6</v>
      </c>
      <c r="C719" s="12" t="s">
        <v>16</v>
      </c>
    </row>
    <row r="720" spans="1:3" ht="15.75" thickBot="1" x14ac:dyDescent="0.3">
      <c r="A720" s="10">
        <v>58760</v>
      </c>
      <c r="B720" s="11" t="s">
        <v>3</v>
      </c>
      <c r="C720" s="12" t="s">
        <v>17</v>
      </c>
    </row>
    <row r="721" spans="1:3" ht="15.75" thickBot="1" x14ac:dyDescent="0.3">
      <c r="A721" s="10">
        <v>58800</v>
      </c>
      <c r="B721" s="11" t="s">
        <v>9</v>
      </c>
      <c r="C721" s="12" t="s">
        <v>18</v>
      </c>
    </row>
    <row r="722" spans="1:3" ht="15.75" thickBot="1" x14ac:dyDescent="0.3">
      <c r="A722" s="13">
        <v>58807</v>
      </c>
      <c r="B722" s="14" t="s">
        <v>9</v>
      </c>
      <c r="C722" s="15" t="s">
        <v>4</v>
      </c>
    </row>
    <row r="723" spans="1:3" ht="15.75" thickBot="1" x14ac:dyDescent="0.3">
      <c r="A723" s="4">
        <v>58858</v>
      </c>
      <c r="B723" s="5" t="s">
        <v>3</v>
      </c>
      <c r="C723" s="6" t="s">
        <v>5</v>
      </c>
    </row>
    <row r="724" spans="1:3" ht="15.75" thickBot="1" x14ac:dyDescent="0.3">
      <c r="A724" s="4">
        <v>58859</v>
      </c>
      <c r="B724" s="5" t="s">
        <v>6</v>
      </c>
      <c r="C724" s="6" t="s">
        <v>5</v>
      </c>
    </row>
    <row r="725" spans="1:3" ht="15.75" thickBot="1" x14ac:dyDescent="0.3">
      <c r="A725" s="4">
        <v>58904</v>
      </c>
      <c r="B725" s="5" t="s">
        <v>7</v>
      </c>
      <c r="C725" s="6" t="s">
        <v>8</v>
      </c>
    </row>
    <row r="726" spans="1:3" ht="15.75" thickBot="1" x14ac:dyDescent="0.3">
      <c r="A726" s="4">
        <v>58917</v>
      </c>
      <c r="B726" s="5" t="s">
        <v>12</v>
      </c>
      <c r="C726" s="6" t="s">
        <v>10</v>
      </c>
    </row>
    <row r="727" spans="1:3" ht="15.75" thickBot="1" x14ac:dyDescent="0.3">
      <c r="A727" s="4">
        <v>58927</v>
      </c>
      <c r="B727" s="5" t="s">
        <v>19</v>
      </c>
      <c r="C727" s="6" t="s">
        <v>11</v>
      </c>
    </row>
    <row r="728" spans="1:3" ht="15.75" thickBot="1" x14ac:dyDescent="0.3">
      <c r="A728" s="4">
        <v>58966</v>
      </c>
      <c r="B728" s="5" t="s">
        <v>12</v>
      </c>
      <c r="C728" s="6" t="s">
        <v>13</v>
      </c>
    </row>
    <row r="729" spans="1:3" ht="15.75" thickBot="1" x14ac:dyDescent="0.3">
      <c r="A729" s="4">
        <v>59056</v>
      </c>
      <c r="B729" s="5" t="s">
        <v>20</v>
      </c>
      <c r="C729" s="6" t="s">
        <v>14</v>
      </c>
    </row>
    <row r="730" spans="1:3" ht="15.75" thickBot="1" x14ac:dyDescent="0.3">
      <c r="A730" s="4">
        <v>59091</v>
      </c>
      <c r="B730" s="5" t="s">
        <v>20</v>
      </c>
      <c r="C730" s="6" t="s">
        <v>15</v>
      </c>
    </row>
    <row r="731" spans="1:3" ht="15.75" thickBot="1" x14ac:dyDescent="0.3">
      <c r="A731" s="4">
        <v>59112</v>
      </c>
      <c r="B731" s="5" t="s">
        <v>20</v>
      </c>
      <c r="C731" s="6" t="s">
        <v>16</v>
      </c>
    </row>
    <row r="732" spans="1:3" ht="15.75" thickBot="1" x14ac:dyDescent="0.3">
      <c r="A732" s="4">
        <v>59125</v>
      </c>
      <c r="B732" s="5" t="s">
        <v>6</v>
      </c>
      <c r="C732" s="6" t="s">
        <v>17</v>
      </c>
    </row>
    <row r="733" spans="1:3" ht="15.75" thickBot="1" x14ac:dyDescent="0.3">
      <c r="A733" s="4">
        <v>59165</v>
      </c>
      <c r="B733" s="5" t="s">
        <v>19</v>
      </c>
      <c r="C733" s="6" t="s">
        <v>18</v>
      </c>
    </row>
    <row r="734" spans="1:3" ht="15.75" thickBot="1" x14ac:dyDescent="0.3">
      <c r="A734" s="7">
        <v>59172</v>
      </c>
      <c r="B734" s="8" t="s">
        <v>19</v>
      </c>
      <c r="C734" s="9" t="s">
        <v>4</v>
      </c>
    </row>
    <row r="735" spans="1:3" ht="15.75" thickBot="1" x14ac:dyDescent="0.3">
      <c r="A735" s="10">
        <v>59208</v>
      </c>
      <c r="B735" s="11" t="s">
        <v>3</v>
      </c>
      <c r="C735" s="12" t="s">
        <v>5</v>
      </c>
    </row>
    <row r="736" spans="1:3" ht="15.75" thickBot="1" x14ac:dyDescent="0.3">
      <c r="A736" s="10">
        <v>59209</v>
      </c>
      <c r="B736" s="11" t="s">
        <v>6</v>
      </c>
      <c r="C736" s="12" t="s">
        <v>5</v>
      </c>
    </row>
    <row r="737" spans="1:3" ht="15.75" thickBot="1" x14ac:dyDescent="0.3">
      <c r="A737" s="10">
        <v>59254</v>
      </c>
      <c r="B737" s="11" t="s">
        <v>7</v>
      </c>
      <c r="C737" s="12" t="s">
        <v>8</v>
      </c>
    </row>
    <row r="738" spans="1:3" ht="15.75" thickBot="1" x14ac:dyDescent="0.3">
      <c r="A738" s="10">
        <v>59282</v>
      </c>
      <c r="B738" s="11" t="s">
        <v>7</v>
      </c>
      <c r="C738" s="12" t="s">
        <v>10</v>
      </c>
    </row>
    <row r="739" spans="1:3" ht="15.75" thickBot="1" x14ac:dyDescent="0.3">
      <c r="A739" s="10">
        <v>59292</v>
      </c>
      <c r="B739" s="11" t="s">
        <v>3</v>
      </c>
      <c r="C739" s="12" t="s">
        <v>11</v>
      </c>
    </row>
    <row r="740" spans="1:3" ht="15.75" thickBot="1" x14ac:dyDescent="0.3">
      <c r="A740" s="10">
        <v>59316</v>
      </c>
      <c r="B740" s="11" t="s">
        <v>12</v>
      </c>
      <c r="C740" s="12" t="s">
        <v>13</v>
      </c>
    </row>
    <row r="741" spans="1:3" ht="15.75" thickBot="1" x14ac:dyDescent="0.3">
      <c r="A741" s="10">
        <v>59421</v>
      </c>
      <c r="B741" s="11" t="s">
        <v>12</v>
      </c>
      <c r="C741" s="12" t="s">
        <v>14</v>
      </c>
    </row>
    <row r="742" spans="1:3" ht="15.75" thickBot="1" x14ac:dyDescent="0.3">
      <c r="A742" s="10">
        <v>59456</v>
      </c>
      <c r="B742" s="11" t="s">
        <v>12</v>
      </c>
      <c r="C742" s="12" t="s">
        <v>15</v>
      </c>
    </row>
    <row r="743" spans="1:3" ht="15.75" thickBot="1" x14ac:dyDescent="0.3">
      <c r="A743" s="10">
        <v>59477</v>
      </c>
      <c r="B743" s="11" t="s">
        <v>12</v>
      </c>
      <c r="C743" s="12" t="s">
        <v>16</v>
      </c>
    </row>
    <row r="744" spans="1:3" ht="15.75" thickBot="1" x14ac:dyDescent="0.3">
      <c r="A744" s="10">
        <v>59490</v>
      </c>
      <c r="B744" s="11" t="s">
        <v>20</v>
      </c>
      <c r="C744" s="12" t="s">
        <v>17</v>
      </c>
    </row>
    <row r="745" spans="1:3" ht="15.75" thickBot="1" x14ac:dyDescent="0.3">
      <c r="A745" s="10">
        <v>59530</v>
      </c>
      <c r="B745" s="11" t="s">
        <v>3</v>
      </c>
      <c r="C745" s="12" t="s">
        <v>18</v>
      </c>
    </row>
    <row r="746" spans="1:3" ht="15.75" thickBot="1" x14ac:dyDescent="0.3">
      <c r="A746" s="13">
        <v>59537</v>
      </c>
      <c r="B746" s="14" t="s">
        <v>3</v>
      </c>
      <c r="C746" s="15" t="s">
        <v>4</v>
      </c>
    </row>
    <row r="747" spans="1:3" ht="15.75" thickBot="1" x14ac:dyDescent="0.3">
      <c r="A747" s="4">
        <v>59593</v>
      </c>
      <c r="B747" s="5" t="s">
        <v>3</v>
      </c>
      <c r="C747" s="6" t="s">
        <v>5</v>
      </c>
    </row>
    <row r="748" spans="1:3" ht="15.75" thickBot="1" x14ac:dyDescent="0.3">
      <c r="A748" s="4">
        <v>59594</v>
      </c>
      <c r="B748" s="5" t="s">
        <v>6</v>
      </c>
      <c r="C748" s="6" t="s">
        <v>5</v>
      </c>
    </row>
    <row r="749" spans="1:3" ht="15.75" thickBot="1" x14ac:dyDescent="0.3">
      <c r="A749" s="4">
        <v>59639</v>
      </c>
      <c r="B749" s="5" t="s">
        <v>7</v>
      </c>
      <c r="C749" s="6" t="s">
        <v>8</v>
      </c>
    </row>
    <row r="750" spans="1:3" ht="15.75" thickBot="1" x14ac:dyDescent="0.3">
      <c r="A750" s="4">
        <v>59647</v>
      </c>
      <c r="B750" s="5" t="s">
        <v>9</v>
      </c>
      <c r="C750" s="6" t="s">
        <v>10</v>
      </c>
    </row>
    <row r="751" spans="1:3" ht="15.75" thickBot="1" x14ac:dyDescent="0.3">
      <c r="A751" s="4">
        <v>59657</v>
      </c>
      <c r="B751" s="5" t="s">
        <v>6</v>
      </c>
      <c r="C751" s="6" t="s">
        <v>11</v>
      </c>
    </row>
    <row r="752" spans="1:3" ht="15.75" thickBot="1" x14ac:dyDescent="0.3">
      <c r="A752" s="4">
        <v>59701</v>
      </c>
      <c r="B752" s="5" t="s">
        <v>12</v>
      </c>
      <c r="C752" s="6" t="s">
        <v>13</v>
      </c>
    </row>
    <row r="753" spans="1:3" ht="15.75" thickBot="1" x14ac:dyDescent="0.3">
      <c r="A753" s="4">
        <v>59786</v>
      </c>
      <c r="B753" s="5" t="s">
        <v>7</v>
      </c>
      <c r="C753" s="6" t="s">
        <v>14</v>
      </c>
    </row>
    <row r="754" spans="1:3" ht="15.75" thickBot="1" x14ac:dyDescent="0.3">
      <c r="A754" s="4">
        <v>59821</v>
      </c>
      <c r="B754" s="5" t="s">
        <v>7</v>
      </c>
      <c r="C754" s="6" t="s">
        <v>15</v>
      </c>
    </row>
    <row r="755" spans="1:3" ht="15.75" thickBot="1" x14ac:dyDescent="0.3">
      <c r="A755" s="4">
        <v>59842</v>
      </c>
      <c r="B755" s="5" t="s">
        <v>7</v>
      </c>
      <c r="C755" s="6" t="s">
        <v>16</v>
      </c>
    </row>
    <row r="756" spans="1:3" ht="15.75" thickBot="1" x14ac:dyDescent="0.3">
      <c r="A756" s="4">
        <v>59855</v>
      </c>
      <c r="B756" s="5" t="s">
        <v>12</v>
      </c>
      <c r="C756" s="6" t="s">
        <v>17</v>
      </c>
    </row>
    <row r="757" spans="1:3" ht="15.75" thickBot="1" x14ac:dyDescent="0.3">
      <c r="A757" s="4">
        <v>59895</v>
      </c>
      <c r="B757" s="5" t="s">
        <v>6</v>
      </c>
      <c r="C757" s="6" t="s">
        <v>18</v>
      </c>
    </row>
    <row r="758" spans="1:3" ht="15.75" thickBot="1" x14ac:dyDescent="0.3">
      <c r="A758" s="7">
        <v>59902</v>
      </c>
      <c r="B758" s="8" t="s">
        <v>6</v>
      </c>
      <c r="C758" s="9" t="s">
        <v>4</v>
      </c>
    </row>
    <row r="759" spans="1:3" ht="15.75" thickBot="1" x14ac:dyDescent="0.3">
      <c r="A759" s="10">
        <v>59950</v>
      </c>
      <c r="B759" s="11" t="s">
        <v>3</v>
      </c>
      <c r="C759" s="12" t="s">
        <v>5</v>
      </c>
    </row>
    <row r="760" spans="1:3" ht="15.75" thickBot="1" x14ac:dyDescent="0.3">
      <c r="A760" s="10">
        <v>59951</v>
      </c>
      <c r="B760" s="11" t="s">
        <v>6</v>
      </c>
      <c r="C760" s="12" t="s">
        <v>5</v>
      </c>
    </row>
    <row r="761" spans="1:3" ht="15.75" thickBot="1" x14ac:dyDescent="0.3">
      <c r="A761" s="10">
        <v>59996</v>
      </c>
      <c r="B761" s="11" t="s">
        <v>7</v>
      </c>
      <c r="C761" s="12" t="s">
        <v>8</v>
      </c>
    </row>
    <row r="762" spans="1:3" ht="15.75" thickBot="1" x14ac:dyDescent="0.3">
      <c r="A762" s="10">
        <v>60013</v>
      </c>
      <c r="B762" s="11" t="s">
        <v>3</v>
      </c>
      <c r="C762" s="12" t="s">
        <v>10</v>
      </c>
    </row>
    <row r="763" spans="1:3" ht="15.75" thickBot="1" x14ac:dyDescent="0.3">
      <c r="A763" s="10">
        <v>60023</v>
      </c>
      <c r="B763" s="11" t="s">
        <v>12</v>
      </c>
      <c r="C763" s="12" t="s">
        <v>11</v>
      </c>
    </row>
    <row r="764" spans="1:3" ht="15.75" thickBot="1" x14ac:dyDescent="0.3">
      <c r="A764" s="10">
        <v>60058</v>
      </c>
      <c r="B764" s="11" t="s">
        <v>12</v>
      </c>
      <c r="C764" s="12" t="s">
        <v>13</v>
      </c>
    </row>
    <row r="765" spans="1:3" ht="15.75" thickBot="1" x14ac:dyDescent="0.3">
      <c r="A765" s="10">
        <v>60152</v>
      </c>
      <c r="B765" s="11" t="s">
        <v>19</v>
      </c>
      <c r="C765" s="12" t="s">
        <v>14</v>
      </c>
    </row>
    <row r="766" spans="1:3" ht="15.75" thickBot="1" x14ac:dyDescent="0.3">
      <c r="A766" s="10">
        <v>60187</v>
      </c>
      <c r="B766" s="11" t="s">
        <v>19</v>
      </c>
      <c r="C766" s="12" t="s">
        <v>15</v>
      </c>
    </row>
    <row r="767" spans="1:3" ht="15.75" thickBot="1" x14ac:dyDescent="0.3">
      <c r="A767" s="10">
        <v>60208</v>
      </c>
      <c r="B767" s="11" t="s">
        <v>19</v>
      </c>
      <c r="C767" s="12" t="s">
        <v>16</v>
      </c>
    </row>
    <row r="768" spans="1:3" ht="15.75" thickBot="1" x14ac:dyDescent="0.3">
      <c r="A768" s="10">
        <v>60221</v>
      </c>
      <c r="B768" s="11" t="s">
        <v>9</v>
      </c>
      <c r="C768" s="12" t="s">
        <v>17</v>
      </c>
    </row>
    <row r="769" spans="1:3" ht="15.75" thickBot="1" x14ac:dyDescent="0.3">
      <c r="A769" s="10">
        <v>60261</v>
      </c>
      <c r="B769" s="11" t="s">
        <v>12</v>
      </c>
      <c r="C769" s="12" t="s">
        <v>18</v>
      </c>
    </row>
    <row r="770" spans="1:3" ht="15.75" thickBot="1" x14ac:dyDescent="0.3">
      <c r="A770" s="13">
        <v>60268</v>
      </c>
      <c r="B770" s="14" t="s">
        <v>12</v>
      </c>
      <c r="C770" s="15" t="s">
        <v>4</v>
      </c>
    </row>
    <row r="771" spans="1:3" ht="15.75" thickBot="1" x14ac:dyDescent="0.3">
      <c r="A771" s="4">
        <v>60307</v>
      </c>
      <c r="B771" s="5" t="s">
        <v>3</v>
      </c>
      <c r="C771" s="6" t="s">
        <v>5</v>
      </c>
    </row>
    <row r="772" spans="1:3" ht="15.75" thickBot="1" x14ac:dyDescent="0.3">
      <c r="A772" s="4">
        <v>60308</v>
      </c>
      <c r="B772" s="5" t="s">
        <v>6</v>
      </c>
      <c r="C772" s="6" t="s">
        <v>5</v>
      </c>
    </row>
    <row r="773" spans="1:3" ht="15.75" thickBot="1" x14ac:dyDescent="0.3">
      <c r="A773" s="4">
        <v>60353</v>
      </c>
      <c r="B773" s="5" t="s">
        <v>7</v>
      </c>
      <c r="C773" s="6" t="s">
        <v>8</v>
      </c>
    </row>
    <row r="774" spans="1:3" ht="15.75" thickBot="1" x14ac:dyDescent="0.3">
      <c r="A774" s="4">
        <v>60378</v>
      </c>
      <c r="B774" s="5" t="s">
        <v>6</v>
      </c>
      <c r="C774" s="6" t="s">
        <v>10</v>
      </c>
    </row>
    <row r="775" spans="1:3" ht="15.75" thickBot="1" x14ac:dyDescent="0.3">
      <c r="A775" s="4">
        <v>60388</v>
      </c>
      <c r="B775" s="5" t="s">
        <v>7</v>
      </c>
      <c r="C775" s="6" t="s">
        <v>11</v>
      </c>
    </row>
    <row r="776" spans="1:3" ht="15.75" thickBot="1" x14ac:dyDescent="0.3">
      <c r="A776" s="4">
        <v>60415</v>
      </c>
      <c r="B776" s="5" t="s">
        <v>12</v>
      </c>
      <c r="C776" s="6" t="s">
        <v>13</v>
      </c>
    </row>
    <row r="777" spans="1:3" ht="15.75" thickBot="1" x14ac:dyDescent="0.3">
      <c r="A777" s="4">
        <v>60517</v>
      </c>
      <c r="B777" s="5" t="s">
        <v>3</v>
      </c>
      <c r="C777" s="6" t="s">
        <v>14</v>
      </c>
    </row>
    <row r="778" spans="1:3" ht="15.75" thickBot="1" x14ac:dyDescent="0.3">
      <c r="A778" s="4">
        <v>60552</v>
      </c>
      <c r="B778" s="5" t="s">
        <v>3</v>
      </c>
      <c r="C778" s="6" t="s">
        <v>15</v>
      </c>
    </row>
    <row r="779" spans="1:3" ht="15.75" thickBot="1" x14ac:dyDescent="0.3">
      <c r="A779" s="4">
        <v>60573</v>
      </c>
      <c r="B779" s="5" t="s">
        <v>3</v>
      </c>
      <c r="C779" s="6" t="s">
        <v>16</v>
      </c>
    </row>
    <row r="780" spans="1:3" ht="15.75" thickBot="1" x14ac:dyDescent="0.3">
      <c r="A780" s="4">
        <v>60586</v>
      </c>
      <c r="B780" s="5" t="s">
        <v>19</v>
      </c>
      <c r="C780" s="6" t="s">
        <v>17</v>
      </c>
    </row>
    <row r="781" spans="1:3" ht="15.75" thickBot="1" x14ac:dyDescent="0.3">
      <c r="A781" s="4">
        <v>60626</v>
      </c>
      <c r="B781" s="5" t="s">
        <v>7</v>
      </c>
      <c r="C781" s="6" t="s">
        <v>18</v>
      </c>
    </row>
    <row r="782" spans="1:3" ht="15.75" thickBot="1" x14ac:dyDescent="0.3">
      <c r="A782" s="7">
        <v>60633</v>
      </c>
      <c r="B782" s="8" t="s">
        <v>7</v>
      </c>
      <c r="C782" s="9" t="s">
        <v>4</v>
      </c>
    </row>
    <row r="783" spans="1:3" ht="15.75" thickBot="1" x14ac:dyDescent="0.3">
      <c r="A783" s="10">
        <v>60685</v>
      </c>
      <c r="B783" s="11" t="s">
        <v>3</v>
      </c>
      <c r="C783" s="12" t="s">
        <v>5</v>
      </c>
    </row>
    <row r="784" spans="1:3" ht="15.75" thickBot="1" x14ac:dyDescent="0.3">
      <c r="A784" s="10">
        <v>60686</v>
      </c>
      <c r="B784" s="11" t="s">
        <v>6</v>
      </c>
      <c r="C784" s="12" t="s">
        <v>5</v>
      </c>
    </row>
    <row r="785" spans="1:3" ht="15.75" thickBot="1" x14ac:dyDescent="0.3">
      <c r="A785" s="10">
        <v>60731</v>
      </c>
      <c r="B785" s="11" t="s">
        <v>7</v>
      </c>
      <c r="C785" s="12" t="s">
        <v>8</v>
      </c>
    </row>
    <row r="786" spans="1:3" ht="15.75" thickBot="1" x14ac:dyDescent="0.3">
      <c r="A786" s="10">
        <v>60743</v>
      </c>
      <c r="B786" s="11" t="s">
        <v>20</v>
      </c>
      <c r="C786" s="12" t="s">
        <v>10</v>
      </c>
    </row>
    <row r="787" spans="1:3" ht="15.75" thickBot="1" x14ac:dyDescent="0.3">
      <c r="A787" s="10">
        <v>60753</v>
      </c>
      <c r="B787" s="11" t="s">
        <v>9</v>
      </c>
      <c r="C787" s="12" t="s">
        <v>11</v>
      </c>
    </row>
    <row r="788" spans="1:3" ht="15.75" thickBot="1" x14ac:dyDescent="0.3">
      <c r="A788" s="10">
        <v>60793</v>
      </c>
      <c r="B788" s="11" t="s">
        <v>12</v>
      </c>
      <c r="C788" s="12" t="s">
        <v>13</v>
      </c>
    </row>
    <row r="789" spans="1:3" ht="15.75" thickBot="1" x14ac:dyDescent="0.3">
      <c r="A789" s="10">
        <v>60882</v>
      </c>
      <c r="B789" s="11" t="s">
        <v>6</v>
      </c>
      <c r="C789" s="12" t="s">
        <v>14</v>
      </c>
    </row>
    <row r="790" spans="1:3" ht="15.75" thickBot="1" x14ac:dyDescent="0.3">
      <c r="A790" s="10">
        <v>60917</v>
      </c>
      <c r="B790" s="11" t="s">
        <v>6</v>
      </c>
      <c r="C790" s="12" t="s">
        <v>15</v>
      </c>
    </row>
    <row r="791" spans="1:3" ht="15.75" thickBot="1" x14ac:dyDescent="0.3">
      <c r="A791" s="10">
        <v>60938</v>
      </c>
      <c r="B791" s="11" t="s">
        <v>6</v>
      </c>
      <c r="C791" s="12" t="s">
        <v>16</v>
      </c>
    </row>
    <row r="792" spans="1:3" ht="15.75" thickBot="1" x14ac:dyDescent="0.3">
      <c r="A792" s="10">
        <v>60951</v>
      </c>
      <c r="B792" s="11" t="s">
        <v>3</v>
      </c>
      <c r="C792" s="12" t="s">
        <v>17</v>
      </c>
    </row>
    <row r="793" spans="1:3" ht="15.75" thickBot="1" x14ac:dyDescent="0.3">
      <c r="A793" s="10">
        <v>60991</v>
      </c>
      <c r="B793" s="11" t="s">
        <v>9</v>
      </c>
      <c r="C793" s="12" t="s">
        <v>18</v>
      </c>
    </row>
    <row r="794" spans="1:3" ht="15.75" thickBot="1" x14ac:dyDescent="0.3">
      <c r="A794" s="13">
        <v>60998</v>
      </c>
      <c r="B794" s="14" t="s">
        <v>9</v>
      </c>
      <c r="C794" s="15" t="s">
        <v>4</v>
      </c>
    </row>
    <row r="795" spans="1:3" ht="15.75" thickBot="1" x14ac:dyDescent="0.3">
      <c r="A795" s="4">
        <v>61042</v>
      </c>
      <c r="B795" s="5" t="s">
        <v>3</v>
      </c>
      <c r="C795" s="6" t="s">
        <v>5</v>
      </c>
    </row>
    <row r="796" spans="1:3" ht="15.75" thickBot="1" x14ac:dyDescent="0.3">
      <c r="A796" s="4">
        <v>61043</v>
      </c>
      <c r="B796" s="5" t="s">
        <v>6</v>
      </c>
      <c r="C796" s="6" t="s">
        <v>5</v>
      </c>
    </row>
    <row r="797" spans="1:3" ht="15.75" thickBot="1" x14ac:dyDescent="0.3">
      <c r="A797" s="4">
        <v>61088</v>
      </c>
      <c r="B797" s="5" t="s">
        <v>7</v>
      </c>
      <c r="C797" s="6" t="s">
        <v>8</v>
      </c>
    </row>
    <row r="798" spans="1:3" ht="15.75" thickBot="1" x14ac:dyDescent="0.3">
      <c r="A798" s="4">
        <v>61108</v>
      </c>
      <c r="B798" s="5" t="s">
        <v>12</v>
      </c>
      <c r="C798" s="6" t="s">
        <v>10</v>
      </c>
    </row>
    <row r="799" spans="1:3" ht="15.75" thickBot="1" x14ac:dyDescent="0.3">
      <c r="A799" s="4">
        <v>61118</v>
      </c>
      <c r="B799" s="5" t="s">
        <v>19</v>
      </c>
      <c r="C799" s="6" t="s">
        <v>11</v>
      </c>
    </row>
    <row r="800" spans="1:3" ht="15.75" thickBot="1" x14ac:dyDescent="0.3">
      <c r="A800" s="4">
        <v>61150</v>
      </c>
      <c r="B800" s="5" t="s">
        <v>12</v>
      </c>
      <c r="C800" s="6" t="s">
        <v>13</v>
      </c>
    </row>
    <row r="801" spans="1:3" ht="15.75" thickBot="1" x14ac:dyDescent="0.3">
      <c r="A801" s="4">
        <v>61247</v>
      </c>
      <c r="B801" s="5" t="s">
        <v>20</v>
      </c>
      <c r="C801" s="6" t="s">
        <v>14</v>
      </c>
    </row>
    <row r="802" spans="1:3" ht="15.75" thickBot="1" x14ac:dyDescent="0.3">
      <c r="A802" s="4">
        <v>61282</v>
      </c>
      <c r="B802" s="5" t="s">
        <v>20</v>
      </c>
      <c r="C802" s="6" t="s">
        <v>15</v>
      </c>
    </row>
    <row r="803" spans="1:3" ht="15.75" thickBot="1" x14ac:dyDescent="0.3">
      <c r="A803" s="4">
        <v>61303</v>
      </c>
      <c r="B803" s="5" t="s">
        <v>20</v>
      </c>
      <c r="C803" s="6" t="s">
        <v>16</v>
      </c>
    </row>
    <row r="804" spans="1:3" ht="15.75" thickBot="1" x14ac:dyDescent="0.3">
      <c r="A804" s="4">
        <v>61316</v>
      </c>
      <c r="B804" s="5" t="s">
        <v>6</v>
      </c>
      <c r="C804" s="6" t="s">
        <v>17</v>
      </c>
    </row>
    <row r="805" spans="1:3" ht="15.75" thickBot="1" x14ac:dyDescent="0.3">
      <c r="A805" s="4">
        <v>61356</v>
      </c>
      <c r="B805" s="5" t="s">
        <v>19</v>
      </c>
      <c r="C805" s="6" t="s">
        <v>18</v>
      </c>
    </row>
    <row r="806" spans="1:3" ht="15.75" thickBot="1" x14ac:dyDescent="0.3">
      <c r="A806" s="7">
        <v>61363</v>
      </c>
      <c r="B806" s="8" t="s">
        <v>19</v>
      </c>
      <c r="C806" s="9" t="s">
        <v>4</v>
      </c>
    </row>
    <row r="807" spans="1:3" ht="15.75" thickBot="1" x14ac:dyDescent="0.3">
      <c r="A807" s="10">
        <v>61427</v>
      </c>
      <c r="B807" s="11" t="s">
        <v>3</v>
      </c>
      <c r="C807" s="12" t="s">
        <v>5</v>
      </c>
    </row>
    <row r="808" spans="1:3" ht="15.75" thickBot="1" x14ac:dyDescent="0.3">
      <c r="A808" s="10">
        <v>61428</v>
      </c>
      <c r="B808" s="11" t="s">
        <v>6</v>
      </c>
      <c r="C808" s="12" t="s">
        <v>5</v>
      </c>
    </row>
    <row r="809" spans="1:3" ht="15.75" thickBot="1" x14ac:dyDescent="0.3">
      <c r="A809" s="10">
        <v>61473</v>
      </c>
      <c r="B809" s="11" t="s">
        <v>7</v>
      </c>
      <c r="C809" s="12" t="s">
        <v>8</v>
      </c>
    </row>
    <row r="810" spans="1:3" ht="15.75" thickBot="1" x14ac:dyDescent="0.3">
      <c r="A810" s="10">
        <v>61474</v>
      </c>
      <c r="B810" s="11" t="s">
        <v>9</v>
      </c>
      <c r="C810" s="12" t="s">
        <v>10</v>
      </c>
    </row>
    <row r="811" spans="1:3" ht="15.75" thickBot="1" x14ac:dyDescent="0.3">
      <c r="A811" s="10">
        <v>61484</v>
      </c>
      <c r="B811" s="11" t="s">
        <v>6</v>
      </c>
      <c r="C811" s="12" t="s">
        <v>11</v>
      </c>
    </row>
    <row r="812" spans="1:3" ht="15.75" thickBot="1" x14ac:dyDescent="0.3">
      <c r="A812" s="10">
        <v>61535</v>
      </c>
      <c r="B812" s="11" t="s">
        <v>12</v>
      </c>
      <c r="C812" s="12" t="s">
        <v>13</v>
      </c>
    </row>
    <row r="813" spans="1:3" ht="15.75" thickBot="1" x14ac:dyDescent="0.3">
      <c r="A813" s="10">
        <v>61613</v>
      </c>
      <c r="B813" s="11" t="s">
        <v>7</v>
      </c>
      <c r="C813" s="12" t="s">
        <v>14</v>
      </c>
    </row>
    <row r="814" spans="1:3" ht="15.75" thickBot="1" x14ac:dyDescent="0.3">
      <c r="A814" s="10">
        <v>61648</v>
      </c>
      <c r="B814" s="11" t="s">
        <v>7</v>
      </c>
      <c r="C814" s="12" t="s">
        <v>15</v>
      </c>
    </row>
    <row r="815" spans="1:3" ht="15.75" thickBot="1" x14ac:dyDescent="0.3">
      <c r="A815" s="10">
        <v>61669</v>
      </c>
      <c r="B815" s="11" t="s">
        <v>7</v>
      </c>
      <c r="C815" s="12" t="s">
        <v>16</v>
      </c>
    </row>
    <row r="816" spans="1:3" ht="15.75" thickBot="1" x14ac:dyDescent="0.3">
      <c r="A816" s="10">
        <v>61682</v>
      </c>
      <c r="B816" s="11" t="s">
        <v>12</v>
      </c>
      <c r="C816" s="12" t="s">
        <v>17</v>
      </c>
    </row>
    <row r="817" spans="1:3" ht="15.75" thickBot="1" x14ac:dyDescent="0.3">
      <c r="A817" s="10">
        <v>61722</v>
      </c>
      <c r="B817" s="11" t="s">
        <v>6</v>
      </c>
      <c r="C817" s="12" t="s">
        <v>18</v>
      </c>
    </row>
    <row r="818" spans="1:3" ht="15.75" thickBot="1" x14ac:dyDescent="0.3">
      <c r="A818" s="13">
        <v>61729</v>
      </c>
      <c r="B818" s="14" t="s">
        <v>6</v>
      </c>
      <c r="C818" s="15" t="s">
        <v>4</v>
      </c>
    </row>
    <row r="819" spans="1:3" ht="15.75" thickBot="1" x14ac:dyDescent="0.3">
      <c r="A819" s="4">
        <v>61784</v>
      </c>
      <c r="B819" s="5" t="s">
        <v>3</v>
      </c>
      <c r="C819" s="6" t="s">
        <v>5</v>
      </c>
    </row>
    <row r="820" spans="1:3" ht="15.75" thickBot="1" x14ac:dyDescent="0.3">
      <c r="A820" s="4">
        <v>61785</v>
      </c>
      <c r="B820" s="5" t="s">
        <v>6</v>
      </c>
      <c r="C820" s="6" t="s">
        <v>5</v>
      </c>
    </row>
    <row r="821" spans="1:3" ht="15.75" thickBot="1" x14ac:dyDescent="0.3">
      <c r="A821" s="4">
        <v>61830</v>
      </c>
      <c r="B821" s="5" t="s">
        <v>7</v>
      </c>
      <c r="C821" s="6" t="s">
        <v>8</v>
      </c>
    </row>
    <row r="822" spans="1:3" ht="15.75" thickBot="1" x14ac:dyDescent="0.3">
      <c r="A822" s="4">
        <v>61839</v>
      </c>
      <c r="B822" s="5" t="s">
        <v>19</v>
      </c>
      <c r="C822" s="6" t="s">
        <v>10</v>
      </c>
    </row>
    <row r="823" spans="1:3" ht="15.75" thickBot="1" x14ac:dyDescent="0.3">
      <c r="A823" s="4">
        <v>61849</v>
      </c>
      <c r="B823" s="5" t="s">
        <v>20</v>
      </c>
      <c r="C823" s="6" t="s">
        <v>11</v>
      </c>
    </row>
    <row r="824" spans="1:3" ht="15.75" thickBot="1" x14ac:dyDescent="0.3">
      <c r="A824" s="4">
        <v>61892</v>
      </c>
      <c r="B824" s="5" t="s">
        <v>12</v>
      </c>
      <c r="C824" s="6" t="s">
        <v>13</v>
      </c>
    </row>
    <row r="825" spans="1:3" ht="15.75" thickBot="1" x14ac:dyDescent="0.3">
      <c r="A825" s="4">
        <v>61978</v>
      </c>
      <c r="B825" s="5" t="s">
        <v>9</v>
      </c>
      <c r="C825" s="6" t="s">
        <v>14</v>
      </c>
    </row>
    <row r="826" spans="1:3" ht="15.75" thickBot="1" x14ac:dyDescent="0.3">
      <c r="A826" s="4">
        <v>62013</v>
      </c>
      <c r="B826" s="5" t="s">
        <v>9</v>
      </c>
      <c r="C826" s="6" t="s">
        <v>15</v>
      </c>
    </row>
    <row r="827" spans="1:3" ht="15.75" thickBot="1" x14ac:dyDescent="0.3">
      <c r="A827" s="4">
        <v>62034</v>
      </c>
      <c r="B827" s="5" t="s">
        <v>9</v>
      </c>
      <c r="C827" s="6" t="s">
        <v>16</v>
      </c>
    </row>
    <row r="828" spans="1:3" ht="15.75" thickBot="1" x14ac:dyDescent="0.3">
      <c r="A828" s="4">
        <v>62047</v>
      </c>
      <c r="B828" s="5" t="s">
        <v>7</v>
      </c>
      <c r="C828" s="6" t="s">
        <v>17</v>
      </c>
    </row>
    <row r="829" spans="1:3" ht="15.75" thickBot="1" x14ac:dyDescent="0.3">
      <c r="A829" s="4">
        <v>62087</v>
      </c>
      <c r="B829" s="5" t="s">
        <v>20</v>
      </c>
      <c r="C829" s="6" t="s">
        <v>18</v>
      </c>
    </row>
    <row r="830" spans="1:3" ht="15.75" thickBot="1" x14ac:dyDescent="0.3">
      <c r="A830" s="7">
        <v>62094</v>
      </c>
      <c r="B830" s="8" t="s">
        <v>20</v>
      </c>
      <c r="C830" s="9" t="s">
        <v>4</v>
      </c>
    </row>
    <row r="831" spans="1:3" ht="15.75" thickBot="1" x14ac:dyDescent="0.3">
      <c r="A831" s="10">
        <v>62134</v>
      </c>
      <c r="B831" s="11" t="s">
        <v>3</v>
      </c>
      <c r="C831" s="12" t="s">
        <v>5</v>
      </c>
    </row>
    <row r="832" spans="1:3" ht="15.75" thickBot="1" x14ac:dyDescent="0.3">
      <c r="A832" s="10">
        <v>62135</v>
      </c>
      <c r="B832" s="11" t="s">
        <v>6</v>
      </c>
      <c r="C832" s="12" t="s">
        <v>5</v>
      </c>
    </row>
    <row r="833" spans="1:3" ht="15.75" thickBot="1" x14ac:dyDescent="0.3">
      <c r="A833" s="10">
        <v>62180</v>
      </c>
      <c r="B833" s="11" t="s">
        <v>7</v>
      </c>
      <c r="C833" s="12" t="s">
        <v>8</v>
      </c>
    </row>
    <row r="834" spans="1:3" ht="15.75" thickBot="1" x14ac:dyDescent="0.3">
      <c r="A834" s="10">
        <v>62204</v>
      </c>
      <c r="B834" s="11" t="s">
        <v>3</v>
      </c>
      <c r="C834" s="12" t="s">
        <v>10</v>
      </c>
    </row>
    <row r="835" spans="1:3" ht="15.75" thickBot="1" x14ac:dyDescent="0.3">
      <c r="A835" s="10">
        <v>62214</v>
      </c>
      <c r="B835" s="11" t="s">
        <v>12</v>
      </c>
      <c r="C835" s="12" t="s">
        <v>11</v>
      </c>
    </row>
    <row r="836" spans="1:3" ht="15.75" thickBot="1" x14ac:dyDescent="0.3">
      <c r="A836" s="10">
        <v>62242</v>
      </c>
      <c r="B836" s="11" t="s">
        <v>12</v>
      </c>
      <c r="C836" s="12" t="s">
        <v>13</v>
      </c>
    </row>
    <row r="837" spans="1:3" ht="15.75" thickBot="1" x14ac:dyDescent="0.3">
      <c r="A837" s="10">
        <v>62343</v>
      </c>
      <c r="B837" s="11" t="s">
        <v>19</v>
      </c>
      <c r="C837" s="12" t="s">
        <v>14</v>
      </c>
    </row>
    <row r="838" spans="1:3" ht="15.75" thickBot="1" x14ac:dyDescent="0.3">
      <c r="A838" s="10">
        <v>62378</v>
      </c>
      <c r="B838" s="11" t="s">
        <v>19</v>
      </c>
      <c r="C838" s="12" t="s">
        <v>15</v>
      </c>
    </row>
    <row r="839" spans="1:3" ht="15.75" thickBot="1" x14ac:dyDescent="0.3">
      <c r="A839" s="10">
        <v>62399</v>
      </c>
      <c r="B839" s="11" t="s">
        <v>19</v>
      </c>
      <c r="C839" s="12" t="s">
        <v>16</v>
      </c>
    </row>
    <row r="840" spans="1:3" ht="15.75" thickBot="1" x14ac:dyDescent="0.3">
      <c r="A840" s="10">
        <v>62412</v>
      </c>
      <c r="B840" s="11" t="s">
        <v>9</v>
      </c>
      <c r="C840" s="12" t="s">
        <v>17</v>
      </c>
    </row>
    <row r="841" spans="1:3" ht="15.75" thickBot="1" x14ac:dyDescent="0.3">
      <c r="A841" s="10">
        <v>62452</v>
      </c>
      <c r="B841" s="11" t="s">
        <v>12</v>
      </c>
      <c r="C841" s="12" t="s">
        <v>18</v>
      </c>
    </row>
    <row r="842" spans="1:3" ht="15.75" thickBot="1" x14ac:dyDescent="0.3">
      <c r="A842" s="13">
        <v>62459</v>
      </c>
      <c r="B842" s="14" t="s">
        <v>12</v>
      </c>
      <c r="C842" s="15" t="s">
        <v>4</v>
      </c>
    </row>
    <row r="843" spans="1:3" ht="15.75" thickBot="1" x14ac:dyDescent="0.3">
      <c r="A843" s="4">
        <v>62519</v>
      </c>
      <c r="B843" s="5" t="s">
        <v>3</v>
      </c>
      <c r="C843" s="6" t="s">
        <v>5</v>
      </c>
    </row>
    <row r="844" spans="1:3" ht="15.75" thickBot="1" x14ac:dyDescent="0.3">
      <c r="A844" s="4">
        <v>62520</v>
      </c>
      <c r="B844" s="5" t="s">
        <v>6</v>
      </c>
      <c r="C844" s="6" t="s">
        <v>5</v>
      </c>
    </row>
    <row r="845" spans="1:3" ht="15.75" thickBot="1" x14ac:dyDescent="0.3">
      <c r="A845" s="4">
        <v>62565</v>
      </c>
      <c r="B845" s="5" t="s">
        <v>7</v>
      </c>
      <c r="C845" s="6" t="s">
        <v>8</v>
      </c>
    </row>
    <row r="846" spans="1:3" ht="15.75" thickBot="1" x14ac:dyDescent="0.3">
      <c r="A846" s="4">
        <v>62569</v>
      </c>
      <c r="B846" s="5" t="s">
        <v>6</v>
      </c>
      <c r="C846" s="6" t="s">
        <v>10</v>
      </c>
    </row>
    <row r="847" spans="1:3" ht="15.75" thickBot="1" x14ac:dyDescent="0.3">
      <c r="A847" s="4">
        <v>62579</v>
      </c>
      <c r="B847" s="5" t="s">
        <v>7</v>
      </c>
      <c r="C847" s="6" t="s">
        <v>11</v>
      </c>
    </row>
    <row r="848" spans="1:3" ht="15.75" thickBot="1" x14ac:dyDescent="0.3">
      <c r="A848" s="4">
        <v>62627</v>
      </c>
      <c r="B848" s="5" t="s">
        <v>12</v>
      </c>
      <c r="C848" s="6" t="s">
        <v>13</v>
      </c>
    </row>
    <row r="849" spans="1:3" ht="15.75" thickBot="1" x14ac:dyDescent="0.3">
      <c r="A849" s="4">
        <v>62708</v>
      </c>
      <c r="B849" s="5" t="s">
        <v>3</v>
      </c>
      <c r="C849" s="6" t="s">
        <v>14</v>
      </c>
    </row>
    <row r="850" spans="1:3" ht="15.75" thickBot="1" x14ac:dyDescent="0.3">
      <c r="A850" s="4">
        <v>62743</v>
      </c>
      <c r="B850" s="5" t="s">
        <v>3</v>
      </c>
      <c r="C850" s="6" t="s">
        <v>15</v>
      </c>
    </row>
    <row r="851" spans="1:3" ht="15.75" thickBot="1" x14ac:dyDescent="0.3">
      <c r="A851" s="4">
        <v>62764</v>
      </c>
      <c r="B851" s="5" t="s">
        <v>3</v>
      </c>
      <c r="C851" s="6" t="s">
        <v>16</v>
      </c>
    </row>
    <row r="852" spans="1:3" ht="15.75" thickBot="1" x14ac:dyDescent="0.3">
      <c r="A852" s="4">
        <v>62777</v>
      </c>
      <c r="B852" s="5" t="s">
        <v>19</v>
      </c>
      <c r="C852" s="6" t="s">
        <v>17</v>
      </c>
    </row>
    <row r="853" spans="1:3" ht="15.75" thickBot="1" x14ac:dyDescent="0.3">
      <c r="A853" s="4">
        <v>62817</v>
      </c>
      <c r="B853" s="5" t="s">
        <v>7</v>
      </c>
      <c r="C853" s="6" t="s">
        <v>18</v>
      </c>
    </row>
    <row r="854" spans="1:3" ht="15.75" thickBot="1" x14ac:dyDescent="0.3">
      <c r="A854" s="7">
        <v>62824</v>
      </c>
      <c r="B854" s="8" t="s">
        <v>7</v>
      </c>
      <c r="C854" s="9" t="s">
        <v>4</v>
      </c>
    </row>
    <row r="855" spans="1:3" ht="15.75" thickBot="1" x14ac:dyDescent="0.3">
      <c r="A855" s="10">
        <v>62876</v>
      </c>
      <c r="B855" s="11" t="s">
        <v>3</v>
      </c>
      <c r="C855" s="12" t="s">
        <v>5</v>
      </c>
    </row>
    <row r="856" spans="1:3" ht="15.75" thickBot="1" x14ac:dyDescent="0.3">
      <c r="A856" s="10">
        <v>62877</v>
      </c>
      <c r="B856" s="11" t="s">
        <v>6</v>
      </c>
      <c r="C856" s="12" t="s">
        <v>5</v>
      </c>
    </row>
    <row r="857" spans="1:3" ht="15.75" thickBot="1" x14ac:dyDescent="0.3">
      <c r="A857" s="10">
        <v>62922</v>
      </c>
      <c r="B857" s="11" t="s">
        <v>7</v>
      </c>
      <c r="C857" s="12" t="s">
        <v>8</v>
      </c>
    </row>
    <row r="858" spans="1:3" ht="15.75" thickBot="1" x14ac:dyDescent="0.3">
      <c r="A858" s="10">
        <v>62935</v>
      </c>
      <c r="B858" s="11" t="s">
        <v>12</v>
      </c>
      <c r="C858" s="12" t="s">
        <v>10</v>
      </c>
    </row>
    <row r="859" spans="1:3" ht="15.75" thickBot="1" x14ac:dyDescent="0.3">
      <c r="A859" s="10">
        <v>62945</v>
      </c>
      <c r="B859" s="11" t="s">
        <v>19</v>
      </c>
      <c r="C859" s="12" t="s">
        <v>11</v>
      </c>
    </row>
    <row r="860" spans="1:3" ht="15.75" thickBot="1" x14ac:dyDescent="0.3">
      <c r="A860" s="10">
        <v>62984</v>
      </c>
      <c r="B860" s="11" t="s">
        <v>12</v>
      </c>
      <c r="C860" s="12" t="s">
        <v>13</v>
      </c>
    </row>
    <row r="861" spans="1:3" ht="15.75" thickBot="1" x14ac:dyDescent="0.3">
      <c r="A861" s="10">
        <v>63074</v>
      </c>
      <c r="B861" s="11" t="s">
        <v>20</v>
      </c>
      <c r="C861" s="12" t="s">
        <v>14</v>
      </c>
    </row>
    <row r="862" spans="1:3" ht="15.75" thickBot="1" x14ac:dyDescent="0.3">
      <c r="A862" s="10">
        <v>63109</v>
      </c>
      <c r="B862" s="11" t="s">
        <v>20</v>
      </c>
      <c r="C862" s="12" t="s">
        <v>15</v>
      </c>
    </row>
    <row r="863" spans="1:3" ht="15.75" thickBot="1" x14ac:dyDescent="0.3">
      <c r="A863" s="10">
        <v>63130</v>
      </c>
      <c r="B863" s="11" t="s">
        <v>20</v>
      </c>
      <c r="C863" s="12" t="s">
        <v>16</v>
      </c>
    </row>
    <row r="864" spans="1:3" ht="15.75" thickBot="1" x14ac:dyDescent="0.3">
      <c r="A864" s="10">
        <v>63143</v>
      </c>
      <c r="B864" s="11" t="s">
        <v>6</v>
      </c>
      <c r="C864" s="12" t="s">
        <v>17</v>
      </c>
    </row>
    <row r="865" spans="1:3" ht="15.75" thickBot="1" x14ac:dyDescent="0.3">
      <c r="A865" s="10">
        <v>63183</v>
      </c>
      <c r="B865" s="11" t="s">
        <v>19</v>
      </c>
      <c r="C865" s="12" t="s">
        <v>18</v>
      </c>
    </row>
    <row r="866" spans="1:3" ht="15.75" thickBot="1" x14ac:dyDescent="0.3">
      <c r="A866" s="13">
        <v>63190</v>
      </c>
      <c r="B866" s="14" t="s">
        <v>19</v>
      </c>
      <c r="C866" s="15" t="s">
        <v>4</v>
      </c>
    </row>
    <row r="867" spans="1:3" ht="15.75" thickBot="1" x14ac:dyDescent="0.3">
      <c r="A867" s="4">
        <v>63226</v>
      </c>
      <c r="B867" s="5" t="s">
        <v>3</v>
      </c>
      <c r="C867" s="6" t="s">
        <v>5</v>
      </c>
    </row>
    <row r="868" spans="1:3" ht="15.75" thickBot="1" x14ac:dyDescent="0.3">
      <c r="A868" s="4">
        <v>63227</v>
      </c>
      <c r="B868" s="5" t="s">
        <v>6</v>
      </c>
      <c r="C868" s="6" t="s">
        <v>5</v>
      </c>
    </row>
    <row r="869" spans="1:3" ht="15.75" thickBot="1" x14ac:dyDescent="0.3">
      <c r="A869" s="4">
        <v>63272</v>
      </c>
      <c r="B869" s="5" t="s">
        <v>7</v>
      </c>
      <c r="C869" s="6" t="s">
        <v>8</v>
      </c>
    </row>
    <row r="870" spans="1:3" ht="15.75" thickBot="1" x14ac:dyDescent="0.3">
      <c r="A870" s="4">
        <v>63300</v>
      </c>
      <c r="B870" s="5" t="s">
        <v>7</v>
      </c>
      <c r="C870" s="6" t="s">
        <v>10</v>
      </c>
    </row>
    <row r="871" spans="1:3" ht="15.75" thickBot="1" x14ac:dyDescent="0.3">
      <c r="A871" s="4">
        <v>63310</v>
      </c>
      <c r="B871" s="5" t="s">
        <v>3</v>
      </c>
      <c r="C871" s="6" t="s">
        <v>11</v>
      </c>
    </row>
    <row r="872" spans="1:3" ht="15.75" thickBot="1" x14ac:dyDescent="0.3">
      <c r="A872" s="4">
        <v>63334</v>
      </c>
      <c r="B872" s="5" t="s">
        <v>12</v>
      </c>
      <c r="C872" s="6" t="s">
        <v>13</v>
      </c>
    </row>
    <row r="873" spans="1:3" ht="15.75" thickBot="1" x14ac:dyDescent="0.3">
      <c r="A873" s="4">
        <v>63439</v>
      </c>
      <c r="B873" s="5" t="s">
        <v>12</v>
      </c>
      <c r="C873" s="6" t="s">
        <v>14</v>
      </c>
    </row>
    <row r="874" spans="1:3" ht="15.75" thickBot="1" x14ac:dyDescent="0.3">
      <c r="A874" s="4">
        <v>63474</v>
      </c>
      <c r="B874" s="5" t="s">
        <v>12</v>
      </c>
      <c r="C874" s="6" t="s">
        <v>15</v>
      </c>
    </row>
    <row r="875" spans="1:3" ht="15.75" thickBot="1" x14ac:dyDescent="0.3">
      <c r="A875" s="4">
        <v>63495</v>
      </c>
      <c r="B875" s="5" t="s">
        <v>12</v>
      </c>
      <c r="C875" s="6" t="s">
        <v>16</v>
      </c>
    </row>
    <row r="876" spans="1:3" ht="15.75" thickBot="1" x14ac:dyDescent="0.3">
      <c r="A876" s="4">
        <v>63508</v>
      </c>
      <c r="B876" s="5" t="s">
        <v>20</v>
      </c>
      <c r="C876" s="6" t="s">
        <v>17</v>
      </c>
    </row>
    <row r="877" spans="1:3" ht="15.75" thickBot="1" x14ac:dyDescent="0.3">
      <c r="A877" s="4">
        <v>63548</v>
      </c>
      <c r="B877" s="5" t="s">
        <v>3</v>
      </c>
      <c r="C877" s="6" t="s">
        <v>18</v>
      </c>
    </row>
    <row r="878" spans="1:3" ht="15.75" thickBot="1" x14ac:dyDescent="0.3">
      <c r="A878" s="7">
        <v>63555</v>
      </c>
      <c r="B878" s="8" t="s">
        <v>3</v>
      </c>
      <c r="C878" s="9" t="s">
        <v>4</v>
      </c>
    </row>
    <row r="879" spans="1:3" ht="15.75" thickBot="1" x14ac:dyDescent="0.3">
      <c r="A879" s="10">
        <v>63611</v>
      </c>
      <c r="B879" s="11" t="s">
        <v>3</v>
      </c>
      <c r="C879" s="12" t="s">
        <v>5</v>
      </c>
    </row>
    <row r="880" spans="1:3" ht="15.75" thickBot="1" x14ac:dyDescent="0.3">
      <c r="A880" s="10">
        <v>63612</v>
      </c>
      <c r="B880" s="11" t="s">
        <v>6</v>
      </c>
      <c r="C880" s="12" t="s">
        <v>5</v>
      </c>
    </row>
    <row r="881" spans="1:3" ht="15.75" thickBot="1" x14ac:dyDescent="0.3">
      <c r="A881" s="10">
        <v>63657</v>
      </c>
      <c r="B881" s="11" t="s">
        <v>7</v>
      </c>
      <c r="C881" s="12" t="s">
        <v>8</v>
      </c>
    </row>
    <row r="882" spans="1:3" ht="15.75" thickBot="1" x14ac:dyDescent="0.3">
      <c r="A882" s="10">
        <v>63665</v>
      </c>
      <c r="B882" s="11" t="s">
        <v>9</v>
      </c>
      <c r="C882" s="12" t="s">
        <v>10</v>
      </c>
    </row>
    <row r="883" spans="1:3" ht="15.75" thickBot="1" x14ac:dyDescent="0.3">
      <c r="A883" s="10">
        <v>63675</v>
      </c>
      <c r="B883" s="11" t="s">
        <v>6</v>
      </c>
      <c r="C883" s="12" t="s">
        <v>11</v>
      </c>
    </row>
    <row r="884" spans="1:3" ht="15.75" thickBot="1" x14ac:dyDescent="0.3">
      <c r="A884" s="10">
        <v>63719</v>
      </c>
      <c r="B884" s="11" t="s">
        <v>12</v>
      </c>
      <c r="C884" s="12" t="s">
        <v>13</v>
      </c>
    </row>
    <row r="885" spans="1:3" ht="15.75" thickBot="1" x14ac:dyDescent="0.3">
      <c r="A885" s="10">
        <v>63804</v>
      </c>
      <c r="B885" s="11" t="s">
        <v>7</v>
      </c>
      <c r="C885" s="12" t="s">
        <v>14</v>
      </c>
    </row>
    <row r="886" spans="1:3" ht="15.75" thickBot="1" x14ac:dyDescent="0.3">
      <c r="A886" s="10">
        <v>63839</v>
      </c>
      <c r="B886" s="11" t="s">
        <v>7</v>
      </c>
      <c r="C886" s="12" t="s">
        <v>15</v>
      </c>
    </row>
    <row r="887" spans="1:3" ht="15.75" thickBot="1" x14ac:dyDescent="0.3">
      <c r="A887" s="10">
        <v>63860</v>
      </c>
      <c r="B887" s="11" t="s">
        <v>7</v>
      </c>
      <c r="C887" s="12" t="s">
        <v>16</v>
      </c>
    </row>
    <row r="888" spans="1:3" ht="15.75" thickBot="1" x14ac:dyDescent="0.3">
      <c r="A888" s="10">
        <v>63873</v>
      </c>
      <c r="B888" s="11" t="s">
        <v>12</v>
      </c>
      <c r="C888" s="12" t="s">
        <v>17</v>
      </c>
    </row>
    <row r="889" spans="1:3" ht="15.75" thickBot="1" x14ac:dyDescent="0.3">
      <c r="A889" s="10">
        <v>63913</v>
      </c>
      <c r="B889" s="11" t="s">
        <v>6</v>
      </c>
      <c r="C889" s="12" t="s">
        <v>18</v>
      </c>
    </row>
    <row r="890" spans="1:3" ht="15.75" thickBot="1" x14ac:dyDescent="0.3">
      <c r="A890" s="13">
        <v>63920</v>
      </c>
      <c r="B890" s="14" t="s">
        <v>6</v>
      </c>
      <c r="C890" s="15" t="s">
        <v>4</v>
      </c>
    </row>
    <row r="891" spans="1:3" ht="15.75" thickBot="1" x14ac:dyDescent="0.3">
      <c r="A891" s="4">
        <v>63968</v>
      </c>
      <c r="B891" s="5" t="s">
        <v>3</v>
      </c>
      <c r="C891" s="6" t="s">
        <v>5</v>
      </c>
    </row>
    <row r="892" spans="1:3" ht="15.75" thickBot="1" x14ac:dyDescent="0.3">
      <c r="A892" s="4">
        <v>63969</v>
      </c>
      <c r="B892" s="5" t="s">
        <v>6</v>
      </c>
      <c r="C892" s="6" t="s">
        <v>5</v>
      </c>
    </row>
    <row r="893" spans="1:3" ht="15.75" thickBot="1" x14ac:dyDescent="0.3">
      <c r="A893" s="4">
        <v>64014</v>
      </c>
      <c r="B893" s="5" t="s">
        <v>7</v>
      </c>
      <c r="C893" s="6" t="s">
        <v>8</v>
      </c>
    </row>
    <row r="894" spans="1:3" ht="15.75" thickBot="1" x14ac:dyDescent="0.3">
      <c r="A894" s="4">
        <v>64030</v>
      </c>
      <c r="B894" s="5" t="s">
        <v>19</v>
      </c>
      <c r="C894" s="6" t="s">
        <v>10</v>
      </c>
    </row>
    <row r="895" spans="1:3" ht="15.75" thickBot="1" x14ac:dyDescent="0.3">
      <c r="A895" s="4">
        <v>64040</v>
      </c>
      <c r="B895" s="5" t="s">
        <v>20</v>
      </c>
      <c r="C895" s="6" t="s">
        <v>11</v>
      </c>
    </row>
    <row r="896" spans="1:3" ht="15.75" thickBot="1" x14ac:dyDescent="0.3">
      <c r="A896" s="4">
        <v>64076</v>
      </c>
      <c r="B896" s="5" t="s">
        <v>12</v>
      </c>
      <c r="C896" s="6" t="s">
        <v>13</v>
      </c>
    </row>
    <row r="897" spans="1:3" ht="15.75" thickBot="1" x14ac:dyDescent="0.3">
      <c r="A897" s="4">
        <v>64169</v>
      </c>
      <c r="B897" s="5" t="s">
        <v>9</v>
      </c>
      <c r="C897" s="6" t="s">
        <v>14</v>
      </c>
    </row>
    <row r="898" spans="1:3" ht="15.75" thickBot="1" x14ac:dyDescent="0.3">
      <c r="A898" s="4">
        <v>64204</v>
      </c>
      <c r="B898" s="5" t="s">
        <v>9</v>
      </c>
      <c r="C898" s="6" t="s">
        <v>15</v>
      </c>
    </row>
    <row r="899" spans="1:3" ht="15.75" thickBot="1" x14ac:dyDescent="0.3">
      <c r="A899" s="4">
        <v>64225</v>
      </c>
      <c r="B899" s="5" t="s">
        <v>9</v>
      </c>
      <c r="C899" s="6" t="s">
        <v>16</v>
      </c>
    </row>
    <row r="900" spans="1:3" ht="15.75" thickBot="1" x14ac:dyDescent="0.3">
      <c r="A900" s="4">
        <v>64238</v>
      </c>
      <c r="B900" s="5" t="s">
        <v>7</v>
      </c>
      <c r="C900" s="6" t="s">
        <v>17</v>
      </c>
    </row>
    <row r="901" spans="1:3" ht="15.75" thickBot="1" x14ac:dyDescent="0.3">
      <c r="A901" s="4">
        <v>64278</v>
      </c>
      <c r="B901" s="5" t="s">
        <v>20</v>
      </c>
      <c r="C901" s="6" t="s">
        <v>18</v>
      </c>
    </row>
    <row r="902" spans="1:3" ht="15.75" thickBot="1" x14ac:dyDescent="0.3">
      <c r="A902" s="7">
        <v>64285</v>
      </c>
      <c r="B902" s="8" t="s">
        <v>20</v>
      </c>
      <c r="C902" s="9" t="s">
        <v>4</v>
      </c>
    </row>
    <row r="903" spans="1:3" ht="15.75" thickBot="1" x14ac:dyDescent="0.3">
      <c r="A903" s="10">
        <v>64346</v>
      </c>
      <c r="B903" s="11" t="s">
        <v>3</v>
      </c>
      <c r="C903" s="12" t="s">
        <v>5</v>
      </c>
    </row>
    <row r="904" spans="1:3" ht="15.75" thickBot="1" x14ac:dyDescent="0.3">
      <c r="A904" s="10">
        <v>64347</v>
      </c>
      <c r="B904" s="11" t="s">
        <v>6</v>
      </c>
      <c r="C904" s="12" t="s">
        <v>5</v>
      </c>
    </row>
    <row r="905" spans="1:3" ht="15.75" thickBot="1" x14ac:dyDescent="0.3">
      <c r="A905" s="10">
        <v>64392</v>
      </c>
      <c r="B905" s="11" t="s">
        <v>7</v>
      </c>
      <c r="C905" s="12" t="s">
        <v>8</v>
      </c>
    </row>
    <row r="906" spans="1:3" ht="15.75" thickBot="1" x14ac:dyDescent="0.3">
      <c r="A906" s="10">
        <v>64396</v>
      </c>
      <c r="B906" s="11" t="s">
        <v>6</v>
      </c>
      <c r="C906" s="12" t="s">
        <v>10</v>
      </c>
    </row>
    <row r="907" spans="1:3" ht="15.75" thickBot="1" x14ac:dyDescent="0.3">
      <c r="A907" s="10">
        <v>64406</v>
      </c>
      <c r="B907" s="11" t="s">
        <v>7</v>
      </c>
      <c r="C907" s="12" t="s">
        <v>11</v>
      </c>
    </row>
    <row r="908" spans="1:3" ht="15.75" thickBot="1" x14ac:dyDescent="0.3">
      <c r="A908" s="10">
        <v>64454</v>
      </c>
      <c r="B908" s="11" t="s">
        <v>12</v>
      </c>
      <c r="C908" s="12" t="s">
        <v>13</v>
      </c>
    </row>
    <row r="909" spans="1:3" ht="15.75" thickBot="1" x14ac:dyDescent="0.3">
      <c r="A909" s="10">
        <v>64535</v>
      </c>
      <c r="B909" s="11" t="s">
        <v>3</v>
      </c>
      <c r="C909" s="12" t="s">
        <v>14</v>
      </c>
    </row>
    <row r="910" spans="1:3" ht="15.75" thickBot="1" x14ac:dyDescent="0.3">
      <c r="A910" s="10">
        <v>64570</v>
      </c>
      <c r="B910" s="11" t="s">
        <v>3</v>
      </c>
      <c r="C910" s="12" t="s">
        <v>15</v>
      </c>
    </row>
    <row r="911" spans="1:3" ht="15.75" thickBot="1" x14ac:dyDescent="0.3">
      <c r="A911" s="10">
        <v>64591</v>
      </c>
      <c r="B911" s="11" t="s">
        <v>3</v>
      </c>
      <c r="C911" s="12" t="s">
        <v>16</v>
      </c>
    </row>
    <row r="912" spans="1:3" ht="15.75" thickBot="1" x14ac:dyDescent="0.3">
      <c r="A912" s="10">
        <v>64604</v>
      </c>
      <c r="B912" s="11" t="s">
        <v>19</v>
      </c>
      <c r="C912" s="12" t="s">
        <v>17</v>
      </c>
    </row>
    <row r="913" spans="1:3" ht="15.75" thickBot="1" x14ac:dyDescent="0.3">
      <c r="A913" s="10">
        <v>64644</v>
      </c>
      <c r="B913" s="11" t="s">
        <v>7</v>
      </c>
      <c r="C913" s="12" t="s">
        <v>18</v>
      </c>
    </row>
    <row r="914" spans="1:3" ht="15.75" thickBot="1" x14ac:dyDescent="0.3">
      <c r="A914" s="13">
        <v>64651</v>
      </c>
      <c r="B914" s="14" t="s">
        <v>7</v>
      </c>
      <c r="C914" s="15" t="s">
        <v>4</v>
      </c>
    </row>
    <row r="915" spans="1:3" ht="15.75" thickBot="1" x14ac:dyDescent="0.3">
      <c r="A915" s="4">
        <v>64703</v>
      </c>
      <c r="B915" s="5" t="s">
        <v>3</v>
      </c>
      <c r="C915" s="6" t="s">
        <v>5</v>
      </c>
    </row>
    <row r="916" spans="1:3" ht="15.75" thickBot="1" x14ac:dyDescent="0.3">
      <c r="A916" s="4">
        <v>64704</v>
      </c>
      <c r="B916" s="5" t="s">
        <v>6</v>
      </c>
      <c r="C916" s="6" t="s">
        <v>5</v>
      </c>
    </row>
    <row r="917" spans="1:3" ht="15.75" thickBot="1" x14ac:dyDescent="0.3">
      <c r="A917" s="4">
        <v>64749</v>
      </c>
      <c r="B917" s="5" t="s">
        <v>7</v>
      </c>
      <c r="C917" s="6" t="s">
        <v>8</v>
      </c>
    </row>
    <row r="918" spans="1:3" ht="15.75" thickBot="1" x14ac:dyDescent="0.3">
      <c r="A918" s="4">
        <v>64761</v>
      </c>
      <c r="B918" s="5" t="s">
        <v>20</v>
      </c>
      <c r="C918" s="6" t="s">
        <v>10</v>
      </c>
    </row>
    <row r="919" spans="1:3" ht="15.75" thickBot="1" x14ac:dyDescent="0.3">
      <c r="A919" s="4">
        <v>64771</v>
      </c>
      <c r="B919" s="5" t="s">
        <v>9</v>
      </c>
      <c r="C919" s="6" t="s">
        <v>11</v>
      </c>
    </row>
    <row r="920" spans="1:3" ht="15.75" thickBot="1" x14ac:dyDescent="0.3">
      <c r="A920" s="4">
        <v>64811</v>
      </c>
      <c r="B920" s="5" t="s">
        <v>12</v>
      </c>
      <c r="C920" s="6" t="s">
        <v>13</v>
      </c>
    </row>
    <row r="921" spans="1:3" ht="15.75" thickBot="1" x14ac:dyDescent="0.3">
      <c r="A921" s="4">
        <v>64900</v>
      </c>
      <c r="B921" s="5" t="s">
        <v>6</v>
      </c>
      <c r="C921" s="6" t="s">
        <v>14</v>
      </c>
    </row>
    <row r="922" spans="1:3" ht="15.75" thickBot="1" x14ac:dyDescent="0.3">
      <c r="A922" s="4">
        <v>64935</v>
      </c>
      <c r="B922" s="5" t="s">
        <v>6</v>
      </c>
      <c r="C922" s="6" t="s">
        <v>15</v>
      </c>
    </row>
    <row r="923" spans="1:3" ht="15.75" thickBot="1" x14ac:dyDescent="0.3">
      <c r="A923" s="4">
        <v>64956</v>
      </c>
      <c r="B923" s="5" t="s">
        <v>6</v>
      </c>
      <c r="C923" s="6" t="s">
        <v>16</v>
      </c>
    </row>
    <row r="924" spans="1:3" ht="15.75" thickBot="1" x14ac:dyDescent="0.3">
      <c r="A924" s="4">
        <v>64969</v>
      </c>
      <c r="B924" s="5" t="s">
        <v>3</v>
      </c>
      <c r="C924" s="6" t="s">
        <v>17</v>
      </c>
    </row>
    <row r="925" spans="1:3" ht="15.75" thickBot="1" x14ac:dyDescent="0.3">
      <c r="A925" s="4">
        <v>65009</v>
      </c>
      <c r="B925" s="5" t="s">
        <v>9</v>
      </c>
      <c r="C925" s="6" t="s">
        <v>18</v>
      </c>
    </row>
    <row r="926" spans="1:3" ht="15.75" thickBot="1" x14ac:dyDescent="0.3">
      <c r="A926" s="7">
        <v>65016</v>
      </c>
      <c r="B926" s="8" t="s">
        <v>6</v>
      </c>
      <c r="C926" s="9" t="s">
        <v>4</v>
      </c>
    </row>
    <row r="927" spans="1:3" ht="15.75" thickBot="1" x14ac:dyDescent="0.3">
      <c r="A927" s="10">
        <v>65060</v>
      </c>
      <c r="B927" s="11" t="s">
        <v>3</v>
      </c>
      <c r="C927" s="12" t="s">
        <v>5</v>
      </c>
    </row>
    <row r="928" spans="1:3" ht="15.75" thickBot="1" x14ac:dyDescent="0.3">
      <c r="A928" s="10">
        <v>65061</v>
      </c>
      <c r="B928" s="11" t="s">
        <v>6</v>
      </c>
      <c r="C928" s="12" t="s">
        <v>5</v>
      </c>
    </row>
    <row r="929" spans="1:3" ht="15.75" thickBot="1" x14ac:dyDescent="0.3">
      <c r="A929" s="10">
        <v>65106</v>
      </c>
      <c r="B929" s="11" t="s">
        <v>7</v>
      </c>
      <c r="C929" s="12" t="s">
        <v>8</v>
      </c>
    </row>
    <row r="930" spans="1:3" ht="15.75" thickBot="1" x14ac:dyDescent="0.3">
      <c r="A930" s="10">
        <v>65126</v>
      </c>
      <c r="B930" s="11" t="s">
        <v>12</v>
      </c>
      <c r="C930" s="12" t="s">
        <v>10</v>
      </c>
    </row>
    <row r="931" spans="1:3" ht="15.75" thickBot="1" x14ac:dyDescent="0.3">
      <c r="A931" s="10">
        <v>65136</v>
      </c>
      <c r="B931" s="11" t="s">
        <v>20</v>
      </c>
      <c r="C931" s="12" t="s">
        <v>11</v>
      </c>
    </row>
    <row r="932" spans="1:3" ht="15.75" thickBot="1" x14ac:dyDescent="0.3">
      <c r="A932" s="10">
        <v>65168</v>
      </c>
      <c r="B932" s="11" t="s">
        <v>12</v>
      </c>
      <c r="C932" s="12" t="s">
        <v>13</v>
      </c>
    </row>
    <row r="933" spans="1:3" ht="15.75" thickBot="1" x14ac:dyDescent="0.3">
      <c r="A933" s="10">
        <v>65265</v>
      </c>
      <c r="B933" s="11" t="s">
        <v>20</v>
      </c>
      <c r="C933" s="12" t="s">
        <v>14</v>
      </c>
    </row>
    <row r="934" spans="1:3" ht="15.75" thickBot="1" x14ac:dyDescent="0.3">
      <c r="A934" s="10">
        <v>65300</v>
      </c>
      <c r="B934" s="11" t="s">
        <v>20</v>
      </c>
      <c r="C934" s="12" t="s">
        <v>15</v>
      </c>
    </row>
    <row r="935" spans="1:3" ht="15.75" thickBot="1" x14ac:dyDescent="0.3">
      <c r="A935" s="10">
        <v>65321</v>
      </c>
      <c r="B935" s="11" t="s">
        <v>20</v>
      </c>
      <c r="C935" s="12" t="s">
        <v>16</v>
      </c>
    </row>
    <row r="936" spans="1:3" ht="15.75" thickBot="1" x14ac:dyDescent="0.3">
      <c r="A936" s="10">
        <v>65334</v>
      </c>
      <c r="B936" s="11" t="s">
        <v>6</v>
      </c>
      <c r="C936" s="12" t="s">
        <v>17</v>
      </c>
    </row>
    <row r="937" spans="1:3" ht="15.75" thickBot="1" x14ac:dyDescent="0.3">
      <c r="A937" s="10">
        <v>65374</v>
      </c>
      <c r="B937" s="11" t="s">
        <v>20</v>
      </c>
      <c r="C937" s="12" t="s">
        <v>18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B2:G10"/>
  <sheetViews>
    <sheetView workbookViewId="0">
      <selection activeCell="D16" sqref="D16"/>
    </sheetView>
  </sheetViews>
  <sheetFormatPr defaultRowHeight="15" x14ac:dyDescent="0.25"/>
  <cols>
    <col min="2" max="2" width="13.28515625" bestFit="1" customWidth="1"/>
    <col min="3" max="3" width="50.42578125" bestFit="1" customWidth="1"/>
    <col min="4" max="4" width="20.28515625" style="16" customWidth="1"/>
    <col min="5" max="5" width="10.7109375" style="16" bestFit="1" customWidth="1"/>
  </cols>
  <sheetData>
    <row r="2" spans="2:7" x14ac:dyDescent="0.25">
      <c r="C2" t="s">
        <v>135</v>
      </c>
      <c r="D2" s="16">
        <v>44735</v>
      </c>
      <c r="E2" s="16">
        <f ca="1">TODAY()</f>
        <v>44736</v>
      </c>
      <c r="F2">
        <f ca="1">IF(D2=E2,1,0)</f>
        <v>0</v>
      </c>
    </row>
    <row r="3" spans="2:7" x14ac:dyDescent="0.25">
      <c r="B3" s="46">
        <v>238</v>
      </c>
      <c r="C3" t="str">
        <f>'238'!A1</f>
        <v>Data : 22/06/2022</v>
      </c>
      <c r="D3" s="16">
        <f>DATEVALUE(RIGHT(C3,10))</f>
        <v>44734</v>
      </c>
      <c r="E3" s="16">
        <f ca="1">WORKDAY.INTL($E$2,-1,1,feriados)</f>
        <v>44735</v>
      </c>
      <c r="F3">
        <f ca="1">IF(D3=E3,1,0)</f>
        <v>0</v>
      </c>
      <c r="G3">
        <f ca="1">IF($F$2=0,0,IF(AND($F$2=1,F3=0),-1,IF(AND(F3=1,$F$2=1),1,-10)))</f>
        <v>0</v>
      </c>
    </row>
    <row r="4" spans="2:7" x14ac:dyDescent="0.25">
      <c r="B4" s="46">
        <v>550</v>
      </c>
      <c r="C4" t="str">
        <f>'550'!D1</f>
        <v>Data do Movimento : 23/06/2022</v>
      </c>
      <c r="D4" s="16">
        <f>DATEVALUE(RIGHT(C4,10))</f>
        <v>44735</v>
      </c>
      <c r="E4" s="16">
        <f ca="1">$E$2</f>
        <v>44736</v>
      </c>
      <c r="F4">
        <f t="shared" ref="F4:F10" ca="1" si="0">IF(D4=E4,1,0)</f>
        <v>0</v>
      </c>
      <c r="G4">
        <f t="shared" ref="G4:G9" ca="1" si="1">IF($F$2=0,0,IF(AND($F$2=1,F4=0),-1,IF(AND(F4=1,$F$2=1),1,-10)))</f>
        <v>0</v>
      </c>
    </row>
    <row r="5" spans="2:7" x14ac:dyDescent="0.25">
      <c r="B5" s="46" t="s">
        <v>134</v>
      </c>
      <c r="C5" t="str">
        <f>indicadores!A1</f>
        <v>Data e Hora da Última Atualização: 23/06/2022 - 19:19 h</v>
      </c>
      <c r="D5" s="16">
        <f>DATEVALUE(LEFT(SUBSTITUTE(C5,"Data e Hora da Última Atualização: ",""),10))</f>
        <v>44735</v>
      </c>
      <c r="E5" s="16">
        <f ca="1">$E$2</f>
        <v>44736</v>
      </c>
      <c r="F5">
        <f t="shared" ca="1" si="0"/>
        <v>0</v>
      </c>
      <c r="G5">
        <f t="shared" ca="1" si="1"/>
        <v>0</v>
      </c>
    </row>
    <row r="6" spans="2:7" x14ac:dyDescent="0.25">
      <c r="B6" s="46" t="s">
        <v>130</v>
      </c>
      <c r="C6" s="16" t="str">
        <f>LFT!K1</f>
        <v>22/Jun/2022</v>
      </c>
      <c r="D6" s="16">
        <f>DATEVALUE(C6)</f>
        <v>44734</v>
      </c>
      <c r="E6" s="16">
        <f ca="1">WORKDAY.INTL($E$2,-1,1,feriados)</f>
        <v>44735</v>
      </c>
      <c r="F6">
        <f t="shared" ca="1" si="0"/>
        <v>0</v>
      </c>
      <c r="G6">
        <f t="shared" ca="1" si="1"/>
        <v>0</v>
      </c>
    </row>
    <row r="7" spans="2:7" x14ac:dyDescent="0.25">
      <c r="B7" s="46" t="s">
        <v>133</v>
      </c>
      <c r="C7" s="16" t="str">
        <f>LTN!K1</f>
        <v>22/Jun/2022</v>
      </c>
      <c r="D7" s="16">
        <f t="shared" ref="D7:D10" si="2">DATEVALUE(C7)</f>
        <v>44734</v>
      </c>
      <c r="E7" s="16">
        <f ca="1">WORKDAY.INTL($E$2,-1,1,feriados)</f>
        <v>44735</v>
      </c>
      <c r="F7">
        <f t="shared" ca="1" si="0"/>
        <v>0</v>
      </c>
      <c r="G7">
        <f t="shared" ca="1" si="1"/>
        <v>0</v>
      </c>
    </row>
    <row r="8" spans="2:7" x14ac:dyDescent="0.25">
      <c r="B8" s="46" t="s">
        <v>132</v>
      </c>
      <c r="C8" s="16" t="str">
        <f>'NTN-C'!K1</f>
        <v>22/Jun/2022</v>
      </c>
      <c r="D8" s="16">
        <f t="shared" si="2"/>
        <v>44734</v>
      </c>
      <c r="E8" s="16">
        <f ca="1">WORKDAY.INTL($E$2,-1,1,feriados)</f>
        <v>44735</v>
      </c>
      <c r="F8">
        <f t="shared" ca="1" si="0"/>
        <v>0</v>
      </c>
      <c r="G8">
        <f t="shared" ca="1" si="1"/>
        <v>0</v>
      </c>
    </row>
    <row r="9" spans="2:7" x14ac:dyDescent="0.25">
      <c r="B9" s="46" t="s">
        <v>129</v>
      </c>
      <c r="C9" s="16" t="str">
        <f>'NTN-B'!K1</f>
        <v>22/Jun/2022</v>
      </c>
      <c r="D9" s="16">
        <f t="shared" si="2"/>
        <v>44734</v>
      </c>
      <c r="E9" s="16">
        <f ca="1">WORKDAY.INTL($E$2,-1,1,feriados)</f>
        <v>44735</v>
      </c>
      <c r="F9">
        <f t="shared" ca="1" si="0"/>
        <v>0</v>
      </c>
      <c r="G9">
        <f t="shared" ca="1" si="1"/>
        <v>0</v>
      </c>
    </row>
    <row r="10" spans="2:7" x14ac:dyDescent="0.25">
      <c r="B10" s="46" t="s">
        <v>131</v>
      </c>
      <c r="C10" s="16" t="str">
        <f>'NTN-F'!K1</f>
        <v>22/Jun/2022</v>
      </c>
      <c r="D10" s="16">
        <f t="shared" si="2"/>
        <v>44734</v>
      </c>
      <c r="E10" s="16">
        <f ca="1">WORKDAY.INTL($E$2,-1,1,feriados)</f>
        <v>44735</v>
      </c>
      <c r="F10">
        <f t="shared" ca="1" si="0"/>
        <v>0</v>
      </c>
      <c r="G10">
        <f ca="1">IF($F$2=0,0,IF(AND($F$2=1,F10=0),-1,IF(AND(F10=1,$F$2=1),1,-10)))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gerencial</vt:lpstr>
      <vt:lpstr>238</vt:lpstr>
      <vt:lpstr>550</vt:lpstr>
      <vt:lpstr>indicadores</vt:lpstr>
      <vt:lpstr>LFT</vt:lpstr>
      <vt:lpstr>LTN</vt:lpstr>
      <vt:lpstr>NTN-C</vt:lpstr>
      <vt:lpstr>NTN-B</vt:lpstr>
      <vt:lpstr>NTN-F</vt:lpstr>
      <vt:lpstr>feriado</vt:lpstr>
      <vt:lpstr>aux</vt:lpstr>
      <vt:lpstr>feriados</vt:lpstr>
      <vt:lpstr>ult_atu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</dc:creator>
  <cp:lastModifiedBy>mathias</cp:lastModifiedBy>
  <dcterms:created xsi:type="dcterms:W3CDTF">2022-06-15T03:24:02Z</dcterms:created>
  <dcterms:modified xsi:type="dcterms:W3CDTF">2022-06-24T14:30:39Z</dcterms:modified>
</cp:coreProperties>
</file>